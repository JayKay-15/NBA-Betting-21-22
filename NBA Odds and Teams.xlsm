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sse/Documents/MyStuff/NBA Betting/NBA-Betting-21-22/"/>
    </mc:Choice>
  </mc:AlternateContent>
  <xr:revisionPtr revIDLastSave="0" documentId="13_ncr:1_{3BE68AF5-76AC-084B-940F-088B353BE785}" xr6:coauthVersionLast="47" xr6:coauthVersionMax="47" xr10:uidLastSave="{00000000-0000-0000-0000-000000000000}"/>
  <bookViews>
    <workbookView xWindow="0" yWindow="500" windowWidth="25440" windowHeight="14420" activeTab="1" xr2:uid="{5E7A6F3B-51AB-294C-8CCC-064589360173}"/>
  </bookViews>
  <sheets>
    <sheet name="Today's Games" sheetId="1" r:id="rId1"/>
    <sheet name="Today's Odds" sheetId="4" r:id="rId2"/>
    <sheet name="Today's Games v2" sheetId="3" r:id="rId3"/>
    <sheet name="Team Match" sheetId="2" r:id="rId4"/>
  </sheets>
  <definedNames>
    <definedName name="_xlnm._FilterDatabase" localSheetId="3" hidden="1">'Team Match'!$D$1:$E$32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3" l="1"/>
  <c r="L2" i="3"/>
  <c r="M2" i="3"/>
  <c r="N2" i="3"/>
  <c r="O1" i="3" s="1"/>
  <c r="R1" i="3" s="1"/>
  <c r="K3" i="3"/>
  <c r="L3" i="3"/>
  <c r="M3" i="3"/>
  <c r="N3" i="3"/>
  <c r="Q2" i="3" s="1"/>
  <c r="K4" i="3"/>
  <c r="L4" i="3"/>
  <c r="M4" i="3"/>
  <c r="N4" i="3"/>
  <c r="O3" i="3" s="1"/>
  <c r="R2" i="3" s="1"/>
  <c r="K5" i="3"/>
  <c r="L5" i="3"/>
  <c r="M5" i="3"/>
  <c r="N5" i="3"/>
  <c r="Q3" i="3" s="1"/>
  <c r="K6" i="3"/>
  <c r="L6" i="3"/>
  <c r="M6" i="3"/>
  <c r="N6" i="3"/>
  <c r="O5" i="3" s="1"/>
  <c r="R3" i="3" s="1"/>
  <c r="K7" i="3"/>
  <c r="L7" i="3"/>
  <c r="M7" i="3"/>
  <c r="N7" i="3"/>
  <c r="Q4" i="3" s="1"/>
  <c r="K8" i="3"/>
  <c r="L8" i="3"/>
  <c r="M8" i="3"/>
  <c r="N8" i="3"/>
  <c r="O7" i="3" s="1"/>
  <c r="R4" i="3" s="1"/>
  <c r="K9" i="3"/>
  <c r="L9" i="3"/>
  <c r="M9" i="3"/>
  <c r="N9" i="3"/>
  <c r="O10" i="3" s="1"/>
  <c r="K10" i="3"/>
  <c r="L10" i="3"/>
  <c r="M10" i="3"/>
  <c r="N10" i="3"/>
  <c r="O9" i="3" s="1"/>
  <c r="R5" i="3" s="1"/>
  <c r="K11" i="3"/>
  <c r="L11" i="3"/>
  <c r="M11" i="3"/>
  <c r="N11" i="3"/>
  <c r="Q6" i="3" s="1"/>
  <c r="K12" i="3"/>
  <c r="L12" i="3"/>
  <c r="M12" i="3"/>
  <c r="N12" i="3"/>
  <c r="O11" i="3" s="1"/>
  <c r="R6" i="3" s="1"/>
  <c r="K13" i="3"/>
  <c r="L13" i="3"/>
  <c r="M13" i="3"/>
  <c r="N13" i="3"/>
  <c r="O14" i="3" s="1"/>
  <c r="K14" i="3"/>
  <c r="L14" i="3"/>
  <c r="M14" i="3"/>
  <c r="N14" i="3"/>
  <c r="O13" i="3" s="1"/>
  <c r="R7" i="3" s="1"/>
  <c r="K15" i="3"/>
  <c r="L15" i="3"/>
  <c r="M15" i="3"/>
  <c r="N15" i="3"/>
  <c r="Q8" i="3" s="1"/>
  <c r="K16" i="3"/>
  <c r="L16" i="3"/>
  <c r="M16" i="3"/>
  <c r="N16" i="3"/>
  <c r="O15" i="3" s="1"/>
  <c r="R8" i="3" s="1"/>
  <c r="K17" i="3"/>
  <c r="L17" i="3"/>
  <c r="M17" i="3"/>
  <c r="N17" i="3"/>
  <c r="Q9" i="3" s="1"/>
  <c r="K18" i="3"/>
  <c r="L18" i="3"/>
  <c r="M18" i="3"/>
  <c r="N18" i="3"/>
  <c r="O17" i="3" s="1"/>
  <c r="R9" i="3" s="1"/>
  <c r="K19" i="3"/>
  <c r="L19" i="3"/>
  <c r="M19" i="3"/>
  <c r="N19" i="3"/>
  <c r="Q10" i="3" s="1"/>
  <c r="K20" i="3"/>
  <c r="L20" i="3"/>
  <c r="M20" i="3"/>
  <c r="N20" i="3"/>
  <c r="O19" i="3" s="1"/>
  <c r="R10" i="3" s="1"/>
  <c r="K21" i="3"/>
  <c r="L21" i="3"/>
  <c r="M21" i="3"/>
  <c r="N21" i="3"/>
  <c r="Q11" i="3" s="1"/>
  <c r="K22" i="3"/>
  <c r="L22" i="3"/>
  <c r="M22" i="3"/>
  <c r="N22" i="3"/>
  <c r="O21" i="3" s="1"/>
  <c r="R11" i="3" s="1"/>
  <c r="K23" i="3"/>
  <c r="L23" i="3"/>
  <c r="M23" i="3"/>
  <c r="N23" i="3"/>
  <c r="Q12" i="3" s="1"/>
  <c r="K24" i="3"/>
  <c r="L24" i="3"/>
  <c r="M24" i="3"/>
  <c r="N24" i="3"/>
  <c r="O23" i="3" s="1"/>
  <c r="R12" i="3" s="1"/>
  <c r="K25" i="3"/>
  <c r="L25" i="3"/>
  <c r="M25" i="3"/>
  <c r="N25" i="3"/>
  <c r="O26" i="3" s="1"/>
  <c r="K26" i="3"/>
  <c r="L26" i="3"/>
  <c r="M26" i="3"/>
  <c r="N26" i="3"/>
  <c r="O25" i="3" s="1"/>
  <c r="R13" i="3" s="1"/>
  <c r="K27" i="3"/>
  <c r="L27" i="3"/>
  <c r="M27" i="3"/>
  <c r="N27" i="3"/>
  <c r="Q14" i="3" s="1"/>
  <c r="K28" i="3"/>
  <c r="L28" i="3"/>
  <c r="M28" i="3"/>
  <c r="N28" i="3"/>
  <c r="O27" i="3" s="1"/>
  <c r="R14" i="3" s="1"/>
  <c r="K29" i="3"/>
  <c r="L29" i="3"/>
  <c r="M29" i="3"/>
  <c r="N29" i="3"/>
  <c r="Q15" i="3" s="1"/>
  <c r="K30" i="3"/>
  <c r="L30" i="3"/>
  <c r="M30" i="3"/>
  <c r="N30" i="3"/>
  <c r="O29" i="3" s="1"/>
  <c r="R15" i="3" s="1"/>
  <c r="N1" i="3"/>
  <c r="Q1" i="3" s="1"/>
  <c r="M1" i="3"/>
  <c r="L1" i="3"/>
  <c r="K1" i="3"/>
  <c r="O28" i="3" l="1"/>
  <c r="O24" i="3"/>
  <c r="O20" i="3"/>
  <c r="O16" i="3"/>
  <c r="O12" i="3"/>
  <c r="O8" i="3"/>
  <c r="O4" i="3"/>
  <c r="Q5" i="3"/>
  <c r="Q13" i="3"/>
  <c r="O2" i="3"/>
  <c r="Q7" i="3"/>
  <c r="O30" i="3"/>
  <c r="O22" i="3"/>
  <c r="O18" i="3"/>
  <c r="O6" i="3"/>
  <c r="N1" i="1" l="1"/>
  <c r="O2" i="1" s="1"/>
  <c r="R15" i="1"/>
  <c r="R14" i="1"/>
  <c r="R13" i="1"/>
  <c r="R12" i="1"/>
  <c r="R11" i="1"/>
  <c r="R10" i="1"/>
  <c r="R9" i="1"/>
  <c r="R8" i="1"/>
  <c r="R7" i="1"/>
  <c r="Q15" i="1"/>
  <c r="Q14" i="1"/>
  <c r="Q13" i="1"/>
  <c r="Q12" i="1"/>
  <c r="Q11" i="1"/>
  <c r="Q10" i="1"/>
  <c r="Q9" i="1"/>
  <c r="Q8" i="1"/>
  <c r="Q7" i="1"/>
  <c r="R6" i="1"/>
  <c r="Q6" i="1"/>
  <c r="R5" i="1"/>
  <c r="Q5" i="1"/>
  <c r="R4" i="1"/>
  <c r="Q4" i="1"/>
  <c r="R3" i="1"/>
  <c r="Q3" i="1"/>
  <c r="R2" i="1"/>
  <c r="Q2" i="1"/>
  <c r="R1" i="1"/>
  <c r="Q1" i="1"/>
  <c r="N3" i="1"/>
  <c r="O4" i="1" s="1"/>
  <c r="N4" i="1"/>
  <c r="O3" i="1" s="1"/>
  <c r="N5" i="1"/>
  <c r="O6" i="1" s="1"/>
  <c r="N6" i="1"/>
  <c r="O5" i="1" s="1"/>
  <c r="N7" i="1"/>
  <c r="O8" i="1" s="1"/>
  <c r="N8" i="1"/>
  <c r="O7" i="1" s="1"/>
  <c r="N9" i="1"/>
  <c r="O10" i="1" s="1"/>
  <c r="N10" i="1"/>
  <c r="O9" i="1" s="1"/>
  <c r="N11" i="1"/>
  <c r="O12" i="1" s="1"/>
  <c r="N12" i="1"/>
  <c r="O11" i="1" s="1"/>
  <c r="N13" i="1"/>
  <c r="O14" i="1" s="1"/>
  <c r="N14" i="1"/>
  <c r="O13" i="1" s="1"/>
  <c r="N15" i="1"/>
  <c r="O16" i="1" s="1"/>
  <c r="N16" i="1"/>
  <c r="O15" i="1" s="1"/>
  <c r="N17" i="1"/>
  <c r="O18" i="1" s="1"/>
  <c r="N18" i="1"/>
  <c r="O17" i="1" s="1"/>
  <c r="N19" i="1"/>
  <c r="O20" i="1" s="1"/>
  <c r="N20" i="1"/>
  <c r="O19" i="1" s="1"/>
  <c r="N21" i="1"/>
  <c r="O22" i="1" s="1"/>
  <c r="N22" i="1"/>
  <c r="O21" i="1" s="1"/>
  <c r="N23" i="1"/>
  <c r="O24" i="1" s="1"/>
  <c r="N24" i="1"/>
  <c r="O23" i="1" s="1"/>
  <c r="N25" i="1"/>
  <c r="O26" i="1" s="1"/>
  <c r="N26" i="1"/>
  <c r="O25" i="1" s="1"/>
  <c r="N27" i="1"/>
  <c r="O28" i="1" s="1"/>
  <c r="N28" i="1"/>
  <c r="O27" i="1" s="1"/>
  <c r="N29" i="1"/>
  <c r="O30" i="1" s="1"/>
  <c r="N30" i="1"/>
  <c r="O29" i="1" s="1"/>
  <c r="N2" i="1"/>
  <c r="O1" i="1" s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2" i="1"/>
  <c r="M1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2" i="1"/>
  <c r="L1" i="1"/>
</calcChain>
</file>

<file path=xl/sharedStrings.xml><?xml version="1.0" encoding="utf-8"?>
<sst xmlns="http://schemas.openxmlformats.org/spreadsheetml/2006/main" count="310" uniqueCount="77">
  <si>
    <t>Milwaukee Bucks</t>
  </si>
  <si>
    <t>Dallas Mavericks</t>
  </si>
  <si>
    <t>Washington Wizards</t>
  </si>
  <si>
    <t>Oklahoma City Thunder</t>
  </si>
  <si>
    <t>Memphis Grizzlies</t>
  </si>
  <si>
    <t>Toronto Raptors</t>
  </si>
  <si>
    <t>San Antonio Spurs</t>
  </si>
  <si>
    <t>New Orleans Pelicans</t>
  </si>
  <si>
    <t>Orlando Magic</t>
  </si>
  <si>
    <t>Boston Celtics</t>
  </si>
  <si>
    <t>Philadelphia 76ers</t>
  </si>
  <si>
    <t>Portland Trail Blazers</t>
  </si>
  <si>
    <t>Houston Rockets</t>
  </si>
  <si>
    <t>Sacramento Kings</t>
  </si>
  <si>
    <t>Brooklyn Nets</t>
  </si>
  <si>
    <t>Los Angeles Clippers</t>
  </si>
  <si>
    <t>MIL</t>
  </si>
  <si>
    <t>GSW</t>
  </si>
  <si>
    <t>TOR</t>
  </si>
  <si>
    <t>UTA</t>
  </si>
  <si>
    <t>HOU</t>
  </si>
  <si>
    <t>BOS</t>
  </si>
  <si>
    <t>POR</t>
  </si>
  <si>
    <t>DEN</t>
  </si>
  <si>
    <t>PHI</t>
  </si>
  <si>
    <t>SAS</t>
  </si>
  <si>
    <t>OKC</t>
  </si>
  <si>
    <t>IND</t>
  </si>
  <si>
    <t>LAC</t>
  </si>
  <si>
    <t>ORL</t>
  </si>
  <si>
    <t>BRK</t>
  </si>
  <si>
    <t>SAC</t>
  </si>
  <si>
    <t>DET</t>
  </si>
  <si>
    <t>MIA</t>
  </si>
  <si>
    <t>DAL</t>
  </si>
  <si>
    <t>MIN</t>
  </si>
  <si>
    <t>CHO</t>
  </si>
  <si>
    <t>NOP</t>
  </si>
  <si>
    <t>MEM</t>
  </si>
  <si>
    <t>LAL</t>
  </si>
  <si>
    <t>WAS</t>
  </si>
  <si>
    <t>ATL</t>
  </si>
  <si>
    <t>CHI</t>
  </si>
  <si>
    <t>PHO</t>
  </si>
  <si>
    <t>NYK</t>
  </si>
  <si>
    <t>CLE</t>
  </si>
  <si>
    <t>Team</t>
  </si>
  <si>
    <t>Abbreviation</t>
  </si>
  <si>
    <t>Atlanta Hawks</t>
  </si>
  <si>
    <t>BKN</t>
  </si>
  <si>
    <t>CHA</t>
  </si>
  <si>
    <t>Charlotte Hornets</t>
  </si>
  <si>
    <t>Chicago Bulls</t>
  </si>
  <si>
    <t>Cleveland Cavaliers</t>
  </si>
  <si>
    <t>Denver Nuggets</t>
  </si>
  <si>
    <t>Detroit Pistons</t>
  </si>
  <si>
    <t>Golden State Warriors</t>
  </si>
  <si>
    <t>Indiana Pacers</t>
  </si>
  <si>
    <t>Los Angeles Lakers</t>
  </si>
  <si>
    <t>Miami Heat</t>
  </si>
  <si>
    <t>Minnesota Timberwolves</t>
  </si>
  <si>
    <t>New York Knicks</t>
  </si>
  <si>
    <t>PHX</t>
  </si>
  <si>
    <t>Phoenix Suns</t>
  </si>
  <si>
    <t>Utah Jazz</t>
  </si>
  <si>
    <t>Brroklyn Nets</t>
  </si>
  <si>
    <t>Charlette Hornets</t>
  </si>
  <si>
    <t>Official</t>
  </si>
  <si>
    <t>Paste in A1</t>
  </si>
  <si>
    <t>Paste in H1</t>
  </si>
  <si>
    <t>L-O for Results Book</t>
  </si>
  <si>
    <t>A-C for Today's Games</t>
  </si>
  <si>
    <t>Paste odds in A1</t>
  </si>
  <si>
    <t>Paste slate in F1</t>
  </si>
  <si>
    <t>Q-R for Slate</t>
  </si>
  <si>
    <t>Spread</t>
  </si>
  <si>
    <t>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</si>
</sst>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14" fontId="0" fillId="0" borderId="0" xfId="0" applyNumberFormat="1"/>
    <xf numFmtId="18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0" xfId="0" applyNumberFormat="1"/>
    <xf numFmtId="0" fontId="0" fillId="3" borderId="0" xfId="0" applyFill="1"/>
    <xf numFmtId="164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</xdr:row>
          <xdr:rowOff>63500</xdr:rowOff>
        </xdr:from>
        <xdr:to>
          <xdr:col>5</xdr:col>
          <xdr:colOff>1676400</xdr:colOff>
          <xdr:row>3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6</xdr:row>
          <xdr:rowOff>76200</xdr:rowOff>
        </xdr:from>
        <xdr:to>
          <xdr:col>5</xdr:col>
          <xdr:colOff>1651000</xdr:colOff>
          <xdr:row>8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736600</xdr:colOff>
          <xdr:row>17</xdr:row>
          <xdr:rowOff>0</xdr:rowOff>
        </xdr:from>
        <xdr:to>
          <xdr:col>17</xdr:col>
          <xdr:colOff>774700</xdr:colOff>
          <xdr:row>21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22</xdr:row>
          <xdr:rowOff>0</xdr:rowOff>
        </xdr:from>
        <xdr:to>
          <xdr:col>17</xdr:col>
          <xdr:colOff>787400</xdr:colOff>
          <xdr:row>26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02F8-88ED-2A44-9DA4-60FC1343A164}">
  <sheetPr codeName="Sheet1"/>
  <dimension ref="A1:R30"/>
  <sheetViews>
    <sheetView workbookViewId="0">
      <selection sqref="A1:C22"/>
    </sheetView>
  </sheetViews>
  <sheetFormatPr baseColWidth="10" defaultRowHeight="16" x14ac:dyDescent="0.2"/>
  <cols>
    <col min="1" max="1" width="24.83203125" customWidth="1"/>
    <col min="2" max="3" width="8.83203125" customWidth="1"/>
    <col min="4" max="5" width="2.83203125" customWidth="1"/>
    <col min="6" max="6" width="22.1640625" customWidth="1"/>
    <col min="7" max="7" width="2.83203125" customWidth="1"/>
    <col min="8" max="8" width="4.83203125" customWidth="1"/>
    <col min="9" max="9" width="4.83203125" style="9" customWidth="1"/>
    <col min="10" max="10" width="4.83203125" customWidth="1"/>
    <col min="11" max="11" width="2.83203125" customWidth="1"/>
    <col min="12" max="13" width="8.83203125" customWidth="1"/>
    <col min="14" max="15" width="22.1640625" bestFit="1" customWidth="1"/>
    <col min="16" max="16" width="4.83203125" customWidth="1"/>
    <col min="17" max="18" width="24.83203125" customWidth="1"/>
    <col min="19" max="19" width="4.83203125" customWidth="1"/>
  </cols>
  <sheetData>
    <row r="1" spans="1:18" x14ac:dyDescent="0.2">
      <c r="A1" t="s">
        <v>52</v>
      </c>
      <c r="B1">
        <v>-2.5</v>
      </c>
      <c r="C1">
        <v>-145</v>
      </c>
      <c r="F1" s="6" t="s">
        <v>68</v>
      </c>
      <c r="H1" t="s">
        <v>56</v>
      </c>
      <c r="I1" s="9">
        <v>4.5</v>
      </c>
      <c r="J1">
        <v>165</v>
      </c>
      <c r="L1">
        <f>I1</f>
        <v>4.5</v>
      </c>
      <c r="M1">
        <f>J1</f>
        <v>165</v>
      </c>
      <c r="N1" t="str">
        <f>H1</f>
        <v>Golden State Warriors</v>
      </c>
      <c r="O1" t="str">
        <f>N2</f>
        <v>Toronto Raptors</v>
      </c>
      <c r="Q1" t="str">
        <f>H1</f>
        <v>Golden State Warriors</v>
      </c>
      <c r="R1" t="str">
        <f>H2</f>
        <v>Toronto Raptors</v>
      </c>
    </row>
    <row r="2" spans="1:18" x14ac:dyDescent="0.2">
      <c r="A2" t="s">
        <v>55</v>
      </c>
      <c r="B2">
        <v>2.5</v>
      </c>
      <c r="C2">
        <v>125</v>
      </c>
      <c r="H2" t="s">
        <v>5</v>
      </c>
      <c r="I2" s="9">
        <v>-4.5</v>
      </c>
      <c r="J2">
        <v>-190</v>
      </c>
      <c r="L2">
        <f>I2</f>
        <v>-4.5</v>
      </c>
      <c r="M2">
        <f>J2</f>
        <v>-190</v>
      </c>
      <c r="N2" t="str">
        <f>H2</f>
        <v>Toronto Raptors</v>
      </c>
      <c r="O2" t="str">
        <f>N1</f>
        <v>Golden State Warriors</v>
      </c>
      <c r="Q2" t="str">
        <f>H3</f>
        <v>Dallas Mavericks</v>
      </c>
      <c r="R2" t="str">
        <f>H4</f>
        <v>New York Knicks</v>
      </c>
    </row>
    <row r="3" spans="1:18" x14ac:dyDescent="0.2">
      <c r="A3" t="s">
        <v>57</v>
      </c>
      <c r="B3">
        <v>2</v>
      </c>
      <c r="C3">
        <v>110</v>
      </c>
      <c r="H3" t="s">
        <v>1</v>
      </c>
      <c r="I3" s="9">
        <v>-6</v>
      </c>
      <c r="J3">
        <v>-230</v>
      </c>
      <c r="L3">
        <f t="shared" ref="L3:L30" si="0">I3</f>
        <v>-6</v>
      </c>
      <c r="M3">
        <f t="shared" ref="M3:M30" si="1">J3</f>
        <v>-230</v>
      </c>
      <c r="N3" t="str">
        <f t="shared" ref="N3:N30" si="2">H3</f>
        <v>Dallas Mavericks</v>
      </c>
      <c r="O3" t="str">
        <f t="shared" ref="O3" si="3">N4</f>
        <v>New York Knicks</v>
      </c>
      <c r="Q3" t="str">
        <f>H5</f>
        <v>Houston Rockets</v>
      </c>
      <c r="R3" t="str">
        <f>H6</f>
        <v>Boston Celtics</v>
      </c>
    </row>
    <row r="4" spans="1:18" x14ac:dyDescent="0.2">
      <c r="A4" t="s">
        <v>51</v>
      </c>
      <c r="B4">
        <v>-2</v>
      </c>
      <c r="C4">
        <v>-130</v>
      </c>
      <c r="H4" t="s">
        <v>61</v>
      </c>
      <c r="I4" s="9">
        <v>6</v>
      </c>
      <c r="J4">
        <v>190</v>
      </c>
      <c r="L4">
        <f t="shared" si="0"/>
        <v>6</v>
      </c>
      <c r="M4">
        <f t="shared" si="1"/>
        <v>190</v>
      </c>
      <c r="N4" t="str">
        <f t="shared" si="2"/>
        <v>New York Knicks</v>
      </c>
      <c r="O4" t="str">
        <f t="shared" ref="O4" si="4">N3</f>
        <v>Dallas Mavericks</v>
      </c>
      <c r="Q4" t="str">
        <f>H7</f>
        <v>Charlotte Hornets</v>
      </c>
      <c r="R4" t="str">
        <f>H8</f>
        <v>Indiana Pacers</v>
      </c>
    </row>
    <row r="5" spans="1:18" x14ac:dyDescent="0.2">
      <c r="A5" t="s">
        <v>9</v>
      </c>
      <c r="B5">
        <v>1</v>
      </c>
      <c r="C5">
        <v>100</v>
      </c>
      <c r="H5" t="s">
        <v>12</v>
      </c>
      <c r="I5" s="9">
        <v>11.5</v>
      </c>
      <c r="J5">
        <v>475</v>
      </c>
      <c r="L5">
        <f t="shared" si="0"/>
        <v>11.5</v>
      </c>
      <c r="M5">
        <f t="shared" si="1"/>
        <v>475</v>
      </c>
      <c r="N5" t="str">
        <f t="shared" si="2"/>
        <v>Houston Rockets</v>
      </c>
      <c r="O5" t="str">
        <f t="shared" ref="O5" si="5">N6</f>
        <v>Boston Celtics</v>
      </c>
      <c r="Q5" t="str">
        <f>H9</f>
        <v>Minnesota Timberwolves</v>
      </c>
      <c r="R5" t="str">
        <f>H10</f>
        <v>Memphis Grizzlies</v>
      </c>
    </row>
    <row r="6" spans="1:18" x14ac:dyDescent="0.2">
      <c r="A6" t="s">
        <v>61</v>
      </c>
      <c r="B6">
        <v>-1</v>
      </c>
      <c r="C6">
        <v>-120</v>
      </c>
      <c r="F6" s="6" t="s">
        <v>69</v>
      </c>
      <c r="H6" t="s">
        <v>9</v>
      </c>
      <c r="I6" s="9">
        <v>-11.5</v>
      </c>
      <c r="J6">
        <v>-750</v>
      </c>
      <c r="L6">
        <f t="shared" si="0"/>
        <v>-11.5</v>
      </c>
      <c r="M6">
        <f t="shared" si="1"/>
        <v>-750</v>
      </c>
      <c r="N6" t="str">
        <f t="shared" si="2"/>
        <v>Boston Celtics</v>
      </c>
      <c r="O6" t="str">
        <f t="shared" ref="O6" si="6">N5</f>
        <v>Houston Rockets</v>
      </c>
      <c r="Q6" t="str">
        <f>H11</f>
        <v>Chicago Bulls</v>
      </c>
      <c r="R6" t="str">
        <f>H12</f>
        <v>Utah Jazz</v>
      </c>
    </row>
    <row r="7" spans="1:18" x14ac:dyDescent="0.2">
      <c r="A7" t="s">
        <v>2</v>
      </c>
      <c r="B7">
        <v>3.5</v>
      </c>
      <c r="C7">
        <v>135</v>
      </c>
      <c r="H7" t="s">
        <v>51</v>
      </c>
      <c r="I7" s="9">
        <v>4.5</v>
      </c>
      <c r="J7">
        <v>165</v>
      </c>
      <c r="L7">
        <f t="shared" si="0"/>
        <v>4.5</v>
      </c>
      <c r="M7">
        <f t="shared" si="1"/>
        <v>165</v>
      </c>
      <c r="N7" t="str">
        <f t="shared" si="2"/>
        <v>Charlotte Hornets</v>
      </c>
      <c r="O7" t="str">
        <f t="shared" ref="O7" si="7">N8</f>
        <v>Indiana Pacers</v>
      </c>
      <c r="Q7" t="str">
        <f>H13</f>
        <v>Los Angeles Lakers</v>
      </c>
      <c r="R7" t="str">
        <f>H14</f>
        <v>Sacramento Kings</v>
      </c>
    </row>
    <row r="8" spans="1:18" x14ac:dyDescent="0.2">
      <c r="A8" t="s">
        <v>5</v>
      </c>
      <c r="B8">
        <v>-3.5</v>
      </c>
      <c r="C8">
        <v>-155</v>
      </c>
      <c r="H8" t="s">
        <v>57</v>
      </c>
      <c r="I8" s="9">
        <v>-4.5</v>
      </c>
      <c r="J8">
        <v>-190</v>
      </c>
      <c r="L8">
        <f t="shared" si="0"/>
        <v>-4.5</v>
      </c>
      <c r="M8">
        <f t="shared" si="1"/>
        <v>-190</v>
      </c>
      <c r="N8" t="str">
        <f t="shared" si="2"/>
        <v>Indiana Pacers</v>
      </c>
      <c r="O8" t="str">
        <f t="shared" ref="O8" si="8">N7</f>
        <v>Charlotte Hornets</v>
      </c>
      <c r="Q8" t="str">
        <f>H15</f>
        <v>Milwaukee Bucks</v>
      </c>
      <c r="R8" t="str">
        <f>H16</f>
        <v>Portland Trail Blazers</v>
      </c>
    </row>
    <row r="9" spans="1:18" x14ac:dyDescent="0.2">
      <c r="A9" t="s">
        <v>53</v>
      </c>
      <c r="B9">
        <v>8</v>
      </c>
      <c r="C9">
        <v>275</v>
      </c>
      <c r="H9" t="s">
        <v>60</v>
      </c>
      <c r="I9" s="9">
        <v>6.5</v>
      </c>
      <c r="J9">
        <v>210</v>
      </c>
      <c r="L9">
        <f t="shared" si="0"/>
        <v>6.5</v>
      </c>
      <c r="M9">
        <f t="shared" si="1"/>
        <v>210</v>
      </c>
      <c r="N9" t="str">
        <f t="shared" si="2"/>
        <v>Minnesota Timberwolves</v>
      </c>
      <c r="O9" t="str">
        <f t="shared" ref="O9" si="9">N10</f>
        <v>Memphis Grizzlies</v>
      </c>
      <c r="Q9" t="str">
        <f>H17</f>
        <v>Oklahoma City Thunder</v>
      </c>
      <c r="R9" t="str">
        <f>H18</f>
        <v>Phoenix Suns</v>
      </c>
    </row>
    <row r="10" spans="1:18" x14ac:dyDescent="0.2">
      <c r="A10" t="s">
        <v>4</v>
      </c>
      <c r="B10">
        <v>-8</v>
      </c>
      <c r="C10">
        <v>-350</v>
      </c>
      <c r="E10" s="4"/>
      <c r="H10" t="s">
        <v>4</v>
      </c>
      <c r="I10" s="9">
        <v>-6.5</v>
      </c>
      <c r="J10">
        <v>-250</v>
      </c>
      <c r="L10">
        <f t="shared" si="0"/>
        <v>-6.5</v>
      </c>
      <c r="M10">
        <f t="shared" si="1"/>
        <v>-250</v>
      </c>
      <c r="N10" t="str">
        <f t="shared" si="2"/>
        <v>Memphis Grizzlies</v>
      </c>
      <c r="O10" t="str">
        <f t="shared" ref="O10" si="10">N9</f>
        <v>Minnesota Timberwolves</v>
      </c>
      <c r="Q10">
        <f>H19</f>
        <v>0</v>
      </c>
      <c r="R10">
        <f>H20</f>
        <v>0</v>
      </c>
    </row>
    <row r="11" spans="1:18" x14ac:dyDescent="0.2">
      <c r="A11" t="s">
        <v>12</v>
      </c>
      <c r="B11">
        <v>4.5</v>
      </c>
      <c r="C11">
        <v>165</v>
      </c>
      <c r="E11" s="5"/>
      <c r="F11" t="s">
        <v>71</v>
      </c>
      <c r="H11" t="s">
        <v>52</v>
      </c>
      <c r="I11" s="9">
        <v>12.5</v>
      </c>
      <c r="J11">
        <v>600</v>
      </c>
      <c r="L11">
        <f t="shared" si="0"/>
        <v>12.5</v>
      </c>
      <c r="M11">
        <f t="shared" si="1"/>
        <v>600</v>
      </c>
      <c r="N11" t="str">
        <f t="shared" si="2"/>
        <v>Chicago Bulls</v>
      </c>
      <c r="O11" t="str">
        <f t="shared" ref="O11" si="11">N12</f>
        <v>Utah Jazz</v>
      </c>
      <c r="Q11">
        <f>H21</f>
        <v>0</v>
      </c>
      <c r="R11">
        <f>H22</f>
        <v>0</v>
      </c>
    </row>
    <row r="12" spans="1:18" x14ac:dyDescent="0.2">
      <c r="A12" t="s">
        <v>60</v>
      </c>
      <c r="B12">
        <v>-4.5</v>
      </c>
      <c r="C12">
        <v>-190</v>
      </c>
      <c r="F12" t="s">
        <v>70</v>
      </c>
      <c r="H12" t="s">
        <v>64</v>
      </c>
      <c r="I12" s="9">
        <v>-12.5</v>
      </c>
      <c r="J12">
        <v>-1000</v>
      </c>
      <c r="L12">
        <f t="shared" si="0"/>
        <v>-12.5</v>
      </c>
      <c r="M12">
        <f t="shared" si="1"/>
        <v>-1000</v>
      </c>
      <c r="N12" t="str">
        <f t="shared" si="2"/>
        <v>Utah Jazz</v>
      </c>
      <c r="O12" t="str">
        <f t="shared" ref="O12" si="12">N11</f>
        <v>Chicago Bulls</v>
      </c>
      <c r="Q12">
        <f>H23</f>
        <v>0</v>
      </c>
      <c r="R12">
        <f>H24</f>
        <v>0</v>
      </c>
    </row>
    <row r="13" spans="1:18" x14ac:dyDescent="0.2">
      <c r="A13" t="s">
        <v>10</v>
      </c>
      <c r="B13">
        <v>-1.5</v>
      </c>
      <c r="C13">
        <v>-125</v>
      </c>
      <c r="F13" t="s">
        <v>74</v>
      </c>
      <c r="H13" t="s">
        <v>58</v>
      </c>
      <c r="I13" s="9">
        <v>4.5</v>
      </c>
      <c r="J13">
        <v>160</v>
      </c>
      <c r="L13">
        <f t="shared" si="0"/>
        <v>4.5</v>
      </c>
      <c r="M13">
        <f t="shared" si="1"/>
        <v>160</v>
      </c>
      <c r="N13" t="str">
        <f t="shared" si="2"/>
        <v>Los Angeles Lakers</v>
      </c>
      <c r="O13" t="str">
        <f t="shared" ref="O13" si="13">N14</f>
        <v>Sacramento Kings</v>
      </c>
      <c r="Q13">
        <f>H25</f>
        <v>0</v>
      </c>
      <c r="R13">
        <f>H26</f>
        <v>0</v>
      </c>
    </row>
    <row r="14" spans="1:18" x14ac:dyDescent="0.2">
      <c r="A14" t="s">
        <v>7</v>
      </c>
      <c r="B14">
        <v>1.5</v>
      </c>
      <c r="C14">
        <v>105</v>
      </c>
      <c r="H14" t="s">
        <v>13</v>
      </c>
      <c r="I14" s="9">
        <v>-4.5</v>
      </c>
      <c r="J14">
        <v>-180</v>
      </c>
      <c r="L14">
        <f t="shared" si="0"/>
        <v>-4.5</v>
      </c>
      <c r="M14">
        <f t="shared" si="1"/>
        <v>-180</v>
      </c>
      <c r="N14" t="str">
        <f t="shared" si="2"/>
        <v>Sacramento Kings</v>
      </c>
      <c r="O14" t="str">
        <f t="shared" ref="O14" si="14">N13</f>
        <v>Los Angeles Lakers</v>
      </c>
      <c r="Q14">
        <f>H27</f>
        <v>0</v>
      </c>
      <c r="R14">
        <f>H28</f>
        <v>0</v>
      </c>
    </row>
    <row r="15" spans="1:18" x14ac:dyDescent="0.2">
      <c r="A15" t="s">
        <v>8</v>
      </c>
      <c r="B15">
        <v>5.5</v>
      </c>
      <c r="C15">
        <v>180</v>
      </c>
      <c r="H15" t="s">
        <v>0</v>
      </c>
      <c r="I15" s="9">
        <v>-3</v>
      </c>
      <c r="J15">
        <v>-145</v>
      </c>
      <c r="L15">
        <f t="shared" si="0"/>
        <v>-3</v>
      </c>
      <c r="M15">
        <f t="shared" si="1"/>
        <v>-145</v>
      </c>
      <c r="N15" t="str">
        <f t="shared" si="2"/>
        <v>Milwaukee Bucks</v>
      </c>
      <c r="O15" t="str">
        <f t="shared" ref="O15" si="15">N16</f>
        <v>Portland Trail Blazers</v>
      </c>
      <c r="Q15">
        <f>H29</f>
        <v>0</v>
      </c>
      <c r="R15">
        <f>H30</f>
        <v>0</v>
      </c>
    </row>
    <row r="16" spans="1:18" x14ac:dyDescent="0.2">
      <c r="A16" t="s">
        <v>6</v>
      </c>
      <c r="B16">
        <v>-5.5</v>
      </c>
      <c r="C16">
        <v>-220</v>
      </c>
      <c r="H16" t="s">
        <v>11</v>
      </c>
      <c r="I16" s="9">
        <v>3</v>
      </c>
      <c r="J16">
        <v>125</v>
      </c>
      <c r="L16">
        <f t="shared" si="0"/>
        <v>3</v>
      </c>
      <c r="M16">
        <f t="shared" si="1"/>
        <v>125</v>
      </c>
      <c r="N16" t="str">
        <f t="shared" si="2"/>
        <v>Portland Trail Blazers</v>
      </c>
      <c r="O16" t="str">
        <f t="shared" ref="O16" si="16">N15</f>
        <v>Milwaukee Bucks</v>
      </c>
    </row>
    <row r="17" spans="1:15" x14ac:dyDescent="0.2">
      <c r="A17" t="s">
        <v>3</v>
      </c>
      <c r="B17">
        <v>11.5</v>
      </c>
      <c r="C17">
        <v>475</v>
      </c>
      <c r="H17" t="s">
        <v>3</v>
      </c>
      <c r="I17" s="9">
        <v>13</v>
      </c>
      <c r="J17">
        <v>650</v>
      </c>
      <c r="L17">
        <f t="shared" si="0"/>
        <v>13</v>
      </c>
      <c r="M17">
        <f t="shared" si="1"/>
        <v>650</v>
      </c>
      <c r="N17" t="str">
        <f t="shared" si="2"/>
        <v>Oklahoma City Thunder</v>
      </c>
      <c r="O17" t="str">
        <f t="shared" ref="O17" si="17">N18</f>
        <v>Phoenix Suns</v>
      </c>
    </row>
    <row r="18" spans="1:15" x14ac:dyDescent="0.2">
      <c r="A18" t="s">
        <v>64</v>
      </c>
      <c r="B18">
        <v>-11.5</v>
      </c>
      <c r="C18">
        <v>-750</v>
      </c>
      <c r="H18" t="s">
        <v>63</v>
      </c>
      <c r="I18" s="9">
        <v>-13</v>
      </c>
      <c r="J18">
        <v>-1100</v>
      </c>
      <c r="L18">
        <f t="shared" si="0"/>
        <v>-13</v>
      </c>
      <c r="M18">
        <f t="shared" si="1"/>
        <v>-1100</v>
      </c>
      <c r="N18" t="str">
        <f t="shared" si="2"/>
        <v>Phoenix Suns</v>
      </c>
      <c r="O18" t="str">
        <f t="shared" ref="O18" si="18">N17</f>
        <v>Oklahoma City Thunder</v>
      </c>
    </row>
    <row r="19" spans="1:15" x14ac:dyDescent="0.2">
      <c r="A19" t="s">
        <v>54</v>
      </c>
      <c r="B19">
        <v>6.5</v>
      </c>
      <c r="C19">
        <v>220</v>
      </c>
      <c r="L19">
        <f t="shared" si="0"/>
        <v>0</v>
      </c>
      <c r="M19">
        <f t="shared" si="1"/>
        <v>0</v>
      </c>
      <c r="N19">
        <f t="shared" si="2"/>
        <v>0</v>
      </c>
      <c r="O19">
        <f t="shared" ref="O19" si="19">N20</f>
        <v>0</v>
      </c>
    </row>
    <row r="20" spans="1:15" x14ac:dyDescent="0.2">
      <c r="A20" t="s">
        <v>63</v>
      </c>
      <c r="B20">
        <v>-6.5</v>
      </c>
      <c r="C20">
        <v>-270</v>
      </c>
      <c r="L20">
        <f t="shared" si="0"/>
        <v>0</v>
      </c>
      <c r="M20">
        <f t="shared" si="1"/>
        <v>0</v>
      </c>
      <c r="N20">
        <f t="shared" si="2"/>
        <v>0</v>
      </c>
      <c r="O20">
        <f t="shared" ref="O20" si="20">N19</f>
        <v>0</v>
      </c>
    </row>
    <row r="21" spans="1:15" x14ac:dyDescent="0.2">
      <c r="A21" t="s">
        <v>13</v>
      </c>
      <c r="B21">
        <v>5.5</v>
      </c>
      <c r="C21">
        <v>190</v>
      </c>
      <c r="L21">
        <f t="shared" si="0"/>
        <v>0</v>
      </c>
      <c r="M21">
        <f t="shared" si="1"/>
        <v>0</v>
      </c>
      <c r="N21">
        <f t="shared" si="2"/>
        <v>0</v>
      </c>
      <c r="O21">
        <f t="shared" ref="O21" si="21">N22</f>
        <v>0</v>
      </c>
    </row>
    <row r="22" spans="1:15" x14ac:dyDescent="0.2">
      <c r="A22" t="s">
        <v>11</v>
      </c>
      <c r="B22">
        <v>-5.5</v>
      </c>
      <c r="C22">
        <v>-230</v>
      </c>
      <c r="L22">
        <f t="shared" si="0"/>
        <v>0</v>
      </c>
      <c r="M22">
        <f t="shared" si="1"/>
        <v>0</v>
      </c>
      <c r="N22">
        <f t="shared" si="2"/>
        <v>0</v>
      </c>
      <c r="O22">
        <f t="shared" ref="O22" si="22">N21</f>
        <v>0</v>
      </c>
    </row>
    <row r="23" spans="1:15" x14ac:dyDescent="0.2">
      <c r="B23">
        <v>0</v>
      </c>
      <c r="C23">
        <v>0</v>
      </c>
      <c r="L23">
        <f t="shared" si="0"/>
        <v>0</v>
      </c>
      <c r="M23">
        <f t="shared" si="1"/>
        <v>0</v>
      </c>
      <c r="N23">
        <f t="shared" si="2"/>
        <v>0</v>
      </c>
      <c r="O23">
        <f t="shared" ref="O23" si="23">N24</f>
        <v>0</v>
      </c>
    </row>
    <row r="24" spans="1:15" x14ac:dyDescent="0.2">
      <c r="B24">
        <v>0</v>
      </c>
      <c r="C24">
        <v>0</v>
      </c>
      <c r="L24">
        <f t="shared" si="0"/>
        <v>0</v>
      </c>
      <c r="M24">
        <f t="shared" si="1"/>
        <v>0</v>
      </c>
      <c r="N24">
        <f t="shared" si="2"/>
        <v>0</v>
      </c>
      <c r="O24">
        <f t="shared" ref="O24" si="24">N23</f>
        <v>0</v>
      </c>
    </row>
    <row r="25" spans="1:15" x14ac:dyDescent="0.2">
      <c r="B25">
        <v>0</v>
      </c>
      <c r="C25">
        <v>0</v>
      </c>
      <c r="L25">
        <f t="shared" si="0"/>
        <v>0</v>
      </c>
      <c r="M25">
        <f t="shared" si="1"/>
        <v>0</v>
      </c>
      <c r="N25">
        <f t="shared" si="2"/>
        <v>0</v>
      </c>
      <c r="O25">
        <f t="shared" ref="O25" si="25">N26</f>
        <v>0</v>
      </c>
    </row>
    <row r="26" spans="1:15" x14ac:dyDescent="0.2">
      <c r="B26">
        <v>0</v>
      </c>
      <c r="C26">
        <v>0</v>
      </c>
      <c r="L26">
        <f t="shared" si="0"/>
        <v>0</v>
      </c>
      <c r="M26">
        <f t="shared" si="1"/>
        <v>0</v>
      </c>
      <c r="N26">
        <f t="shared" si="2"/>
        <v>0</v>
      </c>
      <c r="O26">
        <f t="shared" ref="O26" si="26">N25</f>
        <v>0</v>
      </c>
    </row>
    <row r="27" spans="1:15" x14ac:dyDescent="0.2">
      <c r="B27">
        <v>0</v>
      </c>
      <c r="C27">
        <v>0</v>
      </c>
      <c r="L27">
        <f t="shared" si="0"/>
        <v>0</v>
      </c>
      <c r="M27">
        <f t="shared" si="1"/>
        <v>0</v>
      </c>
      <c r="N27">
        <f t="shared" si="2"/>
        <v>0</v>
      </c>
      <c r="O27">
        <f t="shared" ref="O27" si="27">N28</f>
        <v>0</v>
      </c>
    </row>
    <row r="28" spans="1:15" x14ac:dyDescent="0.2">
      <c r="B28">
        <v>0</v>
      </c>
      <c r="C28">
        <v>0</v>
      </c>
      <c r="L28">
        <f t="shared" si="0"/>
        <v>0</v>
      </c>
      <c r="M28">
        <f t="shared" si="1"/>
        <v>0</v>
      </c>
      <c r="N28">
        <f t="shared" si="2"/>
        <v>0</v>
      </c>
      <c r="O28">
        <f t="shared" ref="O28" si="28">N27</f>
        <v>0</v>
      </c>
    </row>
    <row r="29" spans="1:15" x14ac:dyDescent="0.2">
      <c r="B29">
        <v>0</v>
      </c>
      <c r="C29">
        <v>0</v>
      </c>
      <c r="L29">
        <f t="shared" si="0"/>
        <v>0</v>
      </c>
      <c r="M29">
        <f t="shared" si="1"/>
        <v>0</v>
      </c>
      <c r="N29">
        <f t="shared" si="2"/>
        <v>0</v>
      </c>
      <c r="O29">
        <f t="shared" ref="O29" si="29">N30</f>
        <v>0</v>
      </c>
    </row>
    <row r="30" spans="1:15" x14ac:dyDescent="0.2">
      <c r="B30">
        <v>0</v>
      </c>
      <c r="C30">
        <v>0</v>
      </c>
      <c r="L30">
        <f t="shared" si="0"/>
        <v>0</v>
      </c>
      <c r="M30">
        <f t="shared" si="1"/>
        <v>0</v>
      </c>
      <c r="N30">
        <f t="shared" si="2"/>
        <v>0</v>
      </c>
      <c r="O30">
        <f t="shared" ref="O30" si="30">N29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late">
                <anchor moveWithCells="1" sizeWithCells="1">
                  <from>
                    <xdr:col>5</xdr:col>
                    <xdr:colOff>25400</xdr:colOff>
                    <xdr:row>1</xdr:row>
                    <xdr:rowOff>63500</xdr:rowOff>
                  </from>
                  <to>
                    <xdr:col>5</xdr:col>
                    <xdr:colOff>1676400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63500</xdr:colOff>
                    <xdr:row>6</xdr:row>
                    <xdr:rowOff>76200</xdr:rowOff>
                  </from>
                  <to>
                    <xdr:col>5</xdr:col>
                    <xdr:colOff>1651000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89D85-E3DA-C74D-A642-0C762D0DD0FA}">
  <dimension ref="A1:F123"/>
  <sheetViews>
    <sheetView tabSelected="1" workbookViewId="0"/>
  </sheetViews>
  <sheetFormatPr baseColWidth="10" defaultRowHeight="16" x14ac:dyDescent="0.2"/>
  <cols>
    <col min="1" max="1" width="22" bestFit="1" customWidth="1"/>
    <col min="2" max="2" width="12.83203125" customWidth="1"/>
  </cols>
  <sheetData>
    <row r="1" spans="1:6" x14ac:dyDescent="0.2">
      <c r="A1" s="10" t="s">
        <v>46</v>
      </c>
      <c r="B1" s="10" t="s">
        <v>75</v>
      </c>
      <c r="C1" s="10" t="s">
        <v>76</v>
      </c>
    </row>
    <row r="2" spans="1:6" x14ac:dyDescent="0.2">
      <c r="A2" t="s">
        <v>12</v>
      </c>
      <c r="B2">
        <v>15</v>
      </c>
      <c r="C2">
        <v>900</v>
      </c>
      <c r="D2" s="10"/>
      <c r="F2" s="4"/>
    </row>
    <row r="3" spans="1:6" x14ac:dyDescent="0.2">
      <c r="A3" t="s">
        <v>7</v>
      </c>
      <c r="B3">
        <v>9.5</v>
      </c>
      <c r="C3">
        <v>400</v>
      </c>
      <c r="F3" s="5"/>
    </row>
    <row r="4" spans="1:6" x14ac:dyDescent="0.2">
      <c r="A4" t="s">
        <v>2</v>
      </c>
      <c r="B4">
        <v>8.5</v>
      </c>
      <c r="C4">
        <v>290</v>
      </c>
    </row>
    <row r="5" spans="1:6" x14ac:dyDescent="0.2">
      <c r="A5" t="s">
        <v>64</v>
      </c>
      <c r="B5">
        <v>-2</v>
      </c>
      <c r="C5">
        <v>-125</v>
      </c>
    </row>
    <row r="6" spans="1:6" x14ac:dyDescent="0.2">
      <c r="A6" t="s">
        <v>0</v>
      </c>
      <c r="B6">
        <v>-7</v>
      </c>
      <c r="C6">
        <v>-300</v>
      </c>
    </row>
    <row r="7" spans="1:6" x14ac:dyDescent="0.2">
      <c r="A7" t="s">
        <v>57</v>
      </c>
      <c r="B7">
        <v>-9.5</v>
      </c>
      <c r="C7">
        <v>-450</v>
      </c>
    </row>
    <row r="8" spans="1:6" x14ac:dyDescent="0.2">
      <c r="A8" t="s">
        <v>53</v>
      </c>
      <c r="B8">
        <v>9.5</v>
      </c>
      <c r="C8">
        <v>375</v>
      </c>
    </row>
    <row r="9" spans="1:6" x14ac:dyDescent="0.2">
      <c r="A9" t="s">
        <v>6</v>
      </c>
      <c r="B9">
        <v>7</v>
      </c>
      <c r="C9">
        <v>250</v>
      </c>
    </row>
    <row r="10" spans="1:6" x14ac:dyDescent="0.2">
      <c r="A10" t="s">
        <v>56</v>
      </c>
      <c r="B10">
        <v>2</v>
      </c>
      <c r="C10">
        <v>105</v>
      </c>
    </row>
    <row r="11" spans="1:6" x14ac:dyDescent="0.2">
      <c r="A11" t="s">
        <v>48</v>
      </c>
      <c r="B11">
        <v>-8.5</v>
      </c>
      <c r="C11">
        <v>-350</v>
      </c>
    </row>
    <row r="12" spans="1:6" x14ac:dyDescent="0.2">
      <c r="A12" t="s">
        <v>4</v>
      </c>
      <c r="B12">
        <v>-9.5</v>
      </c>
      <c r="C12">
        <v>-500</v>
      </c>
    </row>
    <row r="13" spans="1:6" x14ac:dyDescent="0.2">
      <c r="A13" t="s">
        <v>11</v>
      </c>
      <c r="B13">
        <v>-15</v>
      </c>
      <c r="C13">
        <v>-1600</v>
      </c>
    </row>
    <row r="14" spans="1:6" x14ac:dyDescent="0.2">
      <c r="F14" s="4"/>
    </row>
    <row r="15" spans="1:6" x14ac:dyDescent="0.2">
      <c r="F15" s="5"/>
    </row>
    <row r="26" spans="6:6" x14ac:dyDescent="0.2">
      <c r="F26" s="4"/>
    </row>
    <row r="27" spans="6:6" x14ac:dyDescent="0.2">
      <c r="F27" s="5"/>
    </row>
    <row r="38" spans="6:6" x14ac:dyDescent="0.2">
      <c r="F38" s="4"/>
    </row>
    <row r="39" spans="6:6" x14ac:dyDescent="0.2">
      <c r="F39" s="5"/>
    </row>
    <row r="50" spans="6:6" x14ac:dyDescent="0.2">
      <c r="F50" s="4"/>
    </row>
    <row r="51" spans="6:6" x14ac:dyDescent="0.2">
      <c r="F51" s="5"/>
    </row>
    <row r="62" spans="6:6" x14ac:dyDescent="0.2">
      <c r="F62" s="4"/>
    </row>
    <row r="63" spans="6:6" x14ac:dyDescent="0.2">
      <c r="F63" s="5"/>
    </row>
    <row r="74" spans="6:6" x14ac:dyDescent="0.2">
      <c r="F74" s="4"/>
    </row>
    <row r="75" spans="6:6" x14ac:dyDescent="0.2">
      <c r="F75" s="5"/>
    </row>
    <row r="86" spans="6:6" x14ac:dyDescent="0.2">
      <c r="F86" s="4"/>
    </row>
    <row r="87" spans="6:6" x14ac:dyDescent="0.2">
      <c r="F87" s="5"/>
    </row>
    <row r="98" spans="6:6" x14ac:dyDescent="0.2">
      <c r="F98" s="4"/>
    </row>
    <row r="99" spans="6:6" x14ac:dyDescent="0.2">
      <c r="F99" s="5"/>
    </row>
    <row r="110" spans="6:6" x14ac:dyDescent="0.2">
      <c r="F110" s="4"/>
    </row>
    <row r="111" spans="6:6" x14ac:dyDescent="0.2">
      <c r="F111" s="5"/>
    </row>
    <row r="122" spans="6:6" x14ac:dyDescent="0.2">
      <c r="F122" s="4"/>
    </row>
    <row r="123" spans="6:6" x14ac:dyDescent="0.2">
      <c r="F123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1B39A-6D83-B04D-A10F-FB160B676CCA}">
  <sheetPr codeName="Sheet3"/>
  <dimension ref="D1:R30"/>
  <sheetViews>
    <sheetView workbookViewId="0"/>
  </sheetViews>
  <sheetFormatPr baseColWidth="10" defaultRowHeight="16" x14ac:dyDescent="0.2"/>
  <cols>
    <col min="5" max="5" width="2.83203125" style="8" customWidth="1"/>
    <col min="10" max="10" width="2.83203125" style="8" customWidth="1"/>
    <col min="14" max="15" width="20.33203125" bestFit="1" customWidth="1"/>
    <col min="16" max="16" width="2.83203125" style="8" customWidth="1"/>
    <col min="17" max="17" width="20.33203125" bestFit="1" customWidth="1"/>
    <col min="18" max="18" width="18.83203125" bestFit="1" customWidth="1"/>
  </cols>
  <sheetData>
    <row r="1" spans="4:18" x14ac:dyDescent="0.2">
      <c r="D1" s="7"/>
      <c r="I1" s="7"/>
      <c r="K1">
        <f>G1</f>
        <v>0</v>
      </c>
      <c r="L1">
        <f>H1</f>
        <v>0</v>
      </c>
      <c r="M1">
        <f>I1</f>
        <v>0</v>
      </c>
      <c r="N1">
        <f>F1</f>
        <v>0</v>
      </c>
      <c r="O1">
        <f>N2</f>
        <v>0</v>
      </c>
      <c r="Q1">
        <f>N1</f>
        <v>0</v>
      </c>
      <c r="R1">
        <f>O1</f>
        <v>0</v>
      </c>
    </row>
    <row r="2" spans="4:18" x14ac:dyDescent="0.2">
      <c r="D2" s="7"/>
      <c r="I2" s="7"/>
      <c r="K2">
        <f t="shared" ref="K2:K30" si="0">G2</f>
        <v>0</v>
      </c>
      <c r="L2">
        <f t="shared" ref="L2:L30" si="1">H2</f>
        <v>0</v>
      </c>
      <c r="M2">
        <f t="shared" ref="M2:M30" si="2">I2</f>
        <v>0</v>
      </c>
      <c r="N2">
        <f t="shared" ref="N2:N30" si="3">F2</f>
        <v>0</v>
      </c>
      <c r="O2">
        <f>N1</f>
        <v>0</v>
      </c>
      <c r="Q2">
        <f>N3</f>
        <v>0</v>
      </c>
      <c r="R2">
        <f>O3</f>
        <v>0</v>
      </c>
    </row>
    <row r="3" spans="4:18" x14ac:dyDescent="0.2">
      <c r="D3" s="7"/>
      <c r="I3" s="7"/>
      <c r="K3">
        <f t="shared" si="0"/>
        <v>0</v>
      </c>
      <c r="L3">
        <f t="shared" si="1"/>
        <v>0</v>
      </c>
      <c r="M3">
        <f t="shared" si="2"/>
        <v>0</v>
      </c>
      <c r="N3">
        <f t="shared" si="3"/>
        <v>0</v>
      </c>
      <c r="O3">
        <f t="shared" ref="O3" si="4">N4</f>
        <v>0</v>
      </c>
      <c r="Q3">
        <f>N5</f>
        <v>0</v>
      </c>
      <c r="R3">
        <f>O5</f>
        <v>0</v>
      </c>
    </row>
    <row r="4" spans="4:18" x14ac:dyDescent="0.2">
      <c r="D4" s="7"/>
      <c r="I4" s="7"/>
      <c r="K4">
        <f t="shared" si="0"/>
        <v>0</v>
      </c>
      <c r="L4">
        <f t="shared" si="1"/>
        <v>0</v>
      </c>
      <c r="M4">
        <f t="shared" si="2"/>
        <v>0</v>
      </c>
      <c r="N4">
        <f t="shared" si="3"/>
        <v>0</v>
      </c>
      <c r="O4">
        <f t="shared" ref="O4" si="5">N3</f>
        <v>0</v>
      </c>
      <c r="Q4">
        <f>N7</f>
        <v>0</v>
      </c>
      <c r="R4">
        <f>O7</f>
        <v>0</v>
      </c>
    </row>
    <row r="5" spans="4:18" x14ac:dyDescent="0.2">
      <c r="D5" s="7"/>
      <c r="I5" s="7"/>
      <c r="K5">
        <f t="shared" si="0"/>
        <v>0</v>
      </c>
      <c r="L5">
        <f t="shared" si="1"/>
        <v>0</v>
      </c>
      <c r="M5">
        <f t="shared" si="2"/>
        <v>0</v>
      </c>
      <c r="N5">
        <f t="shared" si="3"/>
        <v>0</v>
      </c>
      <c r="O5">
        <f t="shared" ref="O5" si="6">N6</f>
        <v>0</v>
      </c>
      <c r="Q5">
        <f>N9</f>
        <v>0</v>
      </c>
      <c r="R5">
        <f>O9</f>
        <v>0</v>
      </c>
    </row>
    <row r="6" spans="4:18" x14ac:dyDescent="0.2">
      <c r="D6" s="7"/>
      <c r="I6" s="7"/>
      <c r="K6">
        <f t="shared" si="0"/>
        <v>0</v>
      </c>
      <c r="L6">
        <f t="shared" si="1"/>
        <v>0</v>
      </c>
      <c r="M6">
        <f t="shared" si="2"/>
        <v>0</v>
      </c>
      <c r="N6">
        <f t="shared" si="3"/>
        <v>0</v>
      </c>
      <c r="O6">
        <f t="shared" ref="O6" si="7">N5</f>
        <v>0</v>
      </c>
      <c r="Q6">
        <f>N11</f>
        <v>0</v>
      </c>
      <c r="R6">
        <f>O11</f>
        <v>0</v>
      </c>
    </row>
    <row r="7" spans="4:18" x14ac:dyDescent="0.2">
      <c r="D7" s="7"/>
      <c r="I7" s="7"/>
      <c r="K7">
        <f t="shared" si="0"/>
        <v>0</v>
      </c>
      <c r="L7">
        <f t="shared" si="1"/>
        <v>0</v>
      </c>
      <c r="M7">
        <f t="shared" si="2"/>
        <v>0</v>
      </c>
      <c r="N7">
        <f t="shared" si="3"/>
        <v>0</v>
      </c>
      <c r="O7">
        <f t="shared" ref="O7" si="8">N8</f>
        <v>0</v>
      </c>
      <c r="Q7">
        <f>N13</f>
        <v>0</v>
      </c>
      <c r="R7">
        <f>O13</f>
        <v>0</v>
      </c>
    </row>
    <row r="8" spans="4:18" x14ac:dyDescent="0.2">
      <c r="D8" s="7"/>
      <c r="I8" s="7"/>
      <c r="K8">
        <f t="shared" si="0"/>
        <v>0</v>
      </c>
      <c r="L8">
        <f t="shared" si="1"/>
        <v>0</v>
      </c>
      <c r="M8">
        <f t="shared" si="2"/>
        <v>0</v>
      </c>
      <c r="N8">
        <f t="shared" si="3"/>
        <v>0</v>
      </c>
      <c r="O8">
        <f t="shared" ref="O8" si="9">N7</f>
        <v>0</v>
      </c>
      <c r="Q8">
        <f>N15</f>
        <v>0</v>
      </c>
      <c r="R8">
        <f>O15</f>
        <v>0</v>
      </c>
    </row>
    <row r="9" spans="4:18" x14ac:dyDescent="0.2">
      <c r="D9" s="7"/>
      <c r="I9" s="7"/>
      <c r="K9">
        <f t="shared" si="0"/>
        <v>0</v>
      </c>
      <c r="L9">
        <f t="shared" si="1"/>
        <v>0</v>
      </c>
      <c r="M9">
        <f t="shared" si="2"/>
        <v>0</v>
      </c>
      <c r="N9">
        <f t="shared" si="3"/>
        <v>0</v>
      </c>
      <c r="O9">
        <f t="shared" ref="O9" si="10">N10</f>
        <v>0</v>
      </c>
      <c r="Q9">
        <f>N17</f>
        <v>0</v>
      </c>
      <c r="R9">
        <f>O17</f>
        <v>0</v>
      </c>
    </row>
    <row r="10" spans="4:18" x14ac:dyDescent="0.2">
      <c r="D10" s="7"/>
      <c r="I10" s="7"/>
      <c r="K10">
        <f t="shared" si="0"/>
        <v>0</v>
      </c>
      <c r="L10">
        <f t="shared" si="1"/>
        <v>0</v>
      </c>
      <c r="M10">
        <f t="shared" si="2"/>
        <v>0</v>
      </c>
      <c r="N10">
        <f t="shared" si="3"/>
        <v>0</v>
      </c>
      <c r="O10">
        <f t="shared" ref="O10" si="11">N9</f>
        <v>0</v>
      </c>
      <c r="Q10">
        <f>N19</f>
        <v>0</v>
      </c>
      <c r="R10">
        <f>O19</f>
        <v>0</v>
      </c>
    </row>
    <row r="11" spans="4:18" x14ac:dyDescent="0.2">
      <c r="D11" s="7"/>
      <c r="I11" s="7"/>
      <c r="K11">
        <f t="shared" si="0"/>
        <v>0</v>
      </c>
      <c r="L11">
        <f t="shared" si="1"/>
        <v>0</v>
      </c>
      <c r="M11">
        <f t="shared" si="2"/>
        <v>0</v>
      </c>
      <c r="N11">
        <f t="shared" si="3"/>
        <v>0</v>
      </c>
      <c r="O11">
        <f t="shared" ref="O11" si="12">N12</f>
        <v>0</v>
      </c>
      <c r="Q11">
        <f>N21</f>
        <v>0</v>
      </c>
      <c r="R11">
        <f>O21</f>
        <v>0</v>
      </c>
    </row>
    <row r="12" spans="4:18" x14ac:dyDescent="0.2">
      <c r="D12" s="7"/>
      <c r="I12" s="7"/>
      <c r="K12">
        <f t="shared" si="0"/>
        <v>0</v>
      </c>
      <c r="L12">
        <f t="shared" si="1"/>
        <v>0</v>
      </c>
      <c r="M12">
        <f t="shared" si="2"/>
        <v>0</v>
      </c>
      <c r="N12">
        <f t="shared" si="3"/>
        <v>0</v>
      </c>
      <c r="O12">
        <f t="shared" ref="O12" si="13">N11</f>
        <v>0</v>
      </c>
      <c r="Q12">
        <f>N23</f>
        <v>0</v>
      </c>
      <c r="R12">
        <f>O23</f>
        <v>0</v>
      </c>
    </row>
    <row r="13" spans="4:18" x14ac:dyDescent="0.2">
      <c r="D13" s="7"/>
      <c r="I13" s="7"/>
      <c r="K13">
        <f t="shared" si="0"/>
        <v>0</v>
      </c>
      <c r="L13">
        <f t="shared" si="1"/>
        <v>0</v>
      </c>
      <c r="M13">
        <f t="shared" si="2"/>
        <v>0</v>
      </c>
      <c r="N13">
        <f t="shared" si="3"/>
        <v>0</v>
      </c>
      <c r="O13">
        <f t="shared" ref="O13" si="14">N14</f>
        <v>0</v>
      </c>
      <c r="Q13">
        <f>N25</f>
        <v>0</v>
      </c>
      <c r="R13">
        <f>O25</f>
        <v>0</v>
      </c>
    </row>
    <row r="14" spans="4:18" x14ac:dyDescent="0.2">
      <c r="D14" s="7"/>
      <c r="I14" s="7"/>
      <c r="K14">
        <f t="shared" si="0"/>
        <v>0</v>
      </c>
      <c r="L14">
        <f t="shared" si="1"/>
        <v>0</v>
      </c>
      <c r="M14">
        <f t="shared" si="2"/>
        <v>0</v>
      </c>
      <c r="N14">
        <f t="shared" si="3"/>
        <v>0</v>
      </c>
      <c r="O14">
        <f t="shared" ref="O14" si="15">N13</f>
        <v>0</v>
      </c>
      <c r="Q14">
        <f>N27</f>
        <v>0</v>
      </c>
      <c r="R14">
        <f>O27</f>
        <v>0</v>
      </c>
    </row>
    <row r="15" spans="4:18" x14ac:dyDescent="0.2">
      <c r="D15" s="7"/>
      <c r="I15" s="7"/>
      <c r="K15">
        <f t="shared" si="0"/>
        <v>0</v>
      </c>
      <c r="L15">
        <f t="shared" si="1"/>
        <v>0</v>
      </c>
      <c r="M15">
        <f t="shared" si="2"/>
        <v>0</v>
      </c>
      <c r="N15">
        <f t="shared" si="3"/>
        <v>0</v>
      </c>
      <c r="O15">
        <f t="shared" ref="O15" si="16">N16</f>
        <v>0</v>
      </c>
      <c r="Q15">
        <f>N29</f>
        <v>0</v>
      </c>
      <c r="R15">
        <f>O29</f>
        <v>0</v>
      </c>
    </row>
    <row r="16" spans="4:18" x14ac:dyDescent="0.2">
      <c r="D16" s="7"/>
      <c r="I16" s="7"/>
      <c r="K16">
        <f t="shared" si="0"/>
        <v>0</v>
      </c>
      <c r="L16">
        <f t="shared" si="1"/>
        <v>0</v>
      </c>
      <c r="M16">
        <f t="shared" si="2"/>
        <v>0</v>
      </c>
      <c r="N16">
        <f t="shared" si="3"/>
        <v>0</v>
      </c>
      <c r="O16">
        <f t="shared" ref="O16" si="17">N15</f>
        <v>0</v>
      </c>
    </row>
    <row r="17" spans="4:18" x14ac:dyDescent="0.2">
      <c r="D17" s="7"/>
      <c r="I17" s="7"/>
      <c r="K17">
        <f t="shared" si="0"/>
        <v>0</v>
      </c>
      <c r="L17">
        <f t="shared" si="1"/>
        <v>0</v>
      </c>
      <c r="M17">
        <f t="shared" si="2"/>
        <v>0</v>
      </c>
      <c r="N17">
        <f t="shared" si="3"/>
        <v>0</v>
      </c>
      <c r="O17">
        <f t="shared" ref="O17" si="18">N18</f>
        <v>0</v>
      </c>
    </row>
    <row r="18" spans="4:18" x14ac:dyDescent="0.2">
      <c r="D18" s="7"/>
      <c r="I18" s="7"/>
      <c r="K18">
        <f t="shared" si="0"/>
        <v>0</v>
      </c>
      <c r="L18">
        <f t="shared" si="1"/>
        <v>0</v>
      </c>
      <c r="M18">
        <f t="shared" si="2"/>
        <v>0</v>
      </c>
      <c r="N18">
        <f t="shared" si="3"/>
        <v>0</v>
      </c>
      <c r="O18">
        <f t="shared" ref="O18" si="19">N17</f>
        <v>0</v>
      </c>
    </row>
    <row r="19" spans="4:18" x14ac:dyDescent="0.2">
      <c r="D19" s="7"/>
      <c r="I19" s="7"/>
      <c r="K19">
        <f t="shared" si="0"/>
        <v>0</v>
      </c>
      <c r="L19">
        <f t="shared" si="1"/>
        <v>0</v>
      </c>
      <c r="M19">
        <f t="shared" si="2"/>
        <v>0</v>
      </c>
      <c r="N19">
        <f t="shared" si="3"/>
        <v>0</v>
      </c>
      <c r="O19">
        <f t="shared" ref="O19" si="20">N20</f>
        <v>0</v>
      </c>
    </row>
    <row r="20" spans="4:18" x14ac:dyDescent="0.2">
      <c r="D20" s="7"/>
      <c r="I20" s="7"/>
      <c r="K20">
        <f t="shared" si="0"/>
        <v>0</v>
      </c>
      <c r="L20">
        <f t="shared" si="1"/>
        <v>0</v>
      </c>
      <c r="M20">
        <f t="shared" si="2"/>
        <v>0</v>
      </c>
      <c r="N20">
        <f t="shared" si="3"/>
        <v>0</v>
      </c>
      <c r="O20">
        <f t="shared" ref="O20" si="21">N19</f>
        <v>0</v>
      </c>
    </row>
    <row r="21" spans="4:18" x14ac:dyDescent="0.2">
      <c r="D21" s="7"/>
      <c r="G21" s="7"/>
      <c r="I21" s="7"/>
      <c r="K21">
        <f t="shared" si="0"/>
        <v>0</v>
      </c>
      <c r="L21">
        <f t="shared" si="1"/>
        <v>0</v>
      </c>
      <c r="M21">
        <f t="shared" si="2"/>
        <v>0</v>
      </c>
      <c r="N21">
        <f t="shared" si="3"/>
        <v>0</v>
      </c>
      <c r="O21">
        <f t="shared" ref="O21" si="22">N22</f>
        <v>0</v>
      </c>
    </row>
    <row r="22" spans="4:18" x14ac:dyDescent="0.2">
      <c r="D22" s="7"/>
      <c r="I22" s="7"/>
      <c r="K22">
        <f t="shared" si="0"/>
        <v>0</v>
      </c>
      <c r="L22">
        <f t="shared" si="1"/>
        <v>0</v>
      </c>
      <c r="M22">
        <f t="shared" si="2"/>
        <v>0</v>
      </c>
      <c r="N22">
        <f t="shared" si="3"/>
        <v>0</v>
      </c>
      <c r="O22">
        <f t="shared" ref="O22" si="23">N21</f>
        <v>0</v>
      </c>
    </row>
    <row r="23" spans="4:18" x14ac:dyDescent="0.2">
      <c r="D23" s="7"/>
      <c r="G23" s="7"/>
      <c r="I23" s="7"/>
      <c r="K23">
        <f t="shared" si="0"/>
        <v>0</v>
      </c>
      <c r="L23">
        <f t="shared" si="1"/>
        <v>0</v>
      </c>
      <c r="M23">
        <f t="shared" si="2"/>
        <v>0</v>
      </c>
      <c r="N23">
        <f t="shared" si="3"/>
        <v>0</v>
      </c>
      <c r="O23">
        <f t="shared" ref="O23" si="24">N24</f>
        <v>0</v>
      </c>
    </row>
    <row r="24" spans="4:18" x14ac:dyDescent="0.2">
      <c r="D24" s="7"/>
      <c r="I24" s="7"/>
      <c r="K24">
        <f t="shared" si="0"/>
        <v>0</v>
      </c>
      <c r="L24">
        <f t="shared" si="1"/>
        <v>0</v>
      </c>
      <c r="M24">
        <f t="shared" si="2"/>
        <v>0</v>
      </c>
      <c r="N24">
        <f t="shared" si="3"/>
        <v>0</v>
      </c>
      <c r="O24">
        <f t="shared" ref="O24" si="25">N23</f>
        <v>0</v>
      </c>
    </row>
    <row r="25" spans="4:18" x14ac:dyDescent="0.2">
      <c r="D25" s="7"/>
      <c r="G25" s="7"/>
      <c r="I25" s="7"/>
      <c r="K25">
        <f t="shared" si="0"/>
        <v>0</v>
      </c>
      <c r="L25">
        <f t="shared" si="1"/>
        <v>0</v>
      </c>
      <c r="M25">
        <f t="shared" si="2"/>
        <v>0</v>
      </c>
      <c r="N25">
        <f t="shared" si="3"/>
        <v>0</v>
      </c>
      <c r="O25">
        <f t="shared" ref="O25" si="26">N26</f>
        <v>0</v>
      </c>
    </row>
    <row r="26" spans="4:18" x14ac:dyDescent="0.2">
      <c r="D26" s="7"/>
      <c r="I26" s="7"/>
      <c r="K26">
        <f t="shared" si="0"/>
        <v>0</v>
      </c>
      <c r="L26">
        <f t="shared" si="1"/>
        <v>0</v>
      </c>
      <c r="M26">
        <f t="shared" si="2"/>
        <v>0</v>
      </c>
      <c r="N26">
        <f t="shared" si="3"/>
        <v>0</v>
      </c>
      <c r="O26">
        <f t="shared" ref="O26" si="27">N25</f>
        <v>0</v>
      </c>
    </row>
    <row r="27" spans="4:18" x14ac:dyDescent="0.2">
      <c r="D27" s="7"/>
      <c r="G27" s="7"/>
      <c r="I27" s="7"/>
      <c r="K27">
        <f t="shared" si="0"/>
        <v>0</v>
      </c>
      <c r="L27">
        <f t="shared" si="1"/>
        <v>0</v>
      </c>
      <c r="M27">
        <f t="shared" si="2"/>
        <v>0</v>
      </c>
      <c r="N27">
        <f t="shared" si="3"/>
        <v>0</v>
      </c>
      <c r="O27">
        <f t="shared" ref="O27" si="28">N28</f>
        <v>0</v>
      </c>
    </row>
    <row r="28" spans="4:18" x14ac:dyDescent="0.2">
      <c r="D28" s="7"/>
      <c r="I28" s="7"/>
      <c r="K28">
        <f t="shared" si="0"/>
        <v>0</v>
      </c>
      <c r="L28">
        <f t="shared" si="1"/>
        <v>0</v>
      </c>
      <c r="M28">
        <f t="shared" si="2"/>
        <v>0</v>
      </c>
      <c r="N28">
        <f t="shared" si="3"/>
        <v>0</v>
      </c>
      <c r="O28">
        <f t="shared" ref="O28" si="29">N27</f>
        <v>0</v>
      </c>
      <c r="Q28" t="s">
        <v>72</v>
      </c>
      <c r="R28" t="s">
        <v>73</v>
      </c>
    </row>
    <row r="29" spans="4:18" x14ac:dyDescent="0.2">
      <c r="D29" s="7"/>
      <c r="G29" s="7"/>
      <c r="I29" s="7"/>
      <c r="K29">
        <f t="shared" si="0"/>
        <v>0</v>
      </c>
      <c r="L29">
        <f t="shared" si="1"/>
        <v>0</v>
      </c>
      <c r="M29">
        <f t="shared" si="2"/>
        <v>0</v>
      </c>
      <c r="N29">
        <f t="shared" si="3"/>
        <v>0</v>
      </c>
      <c r="O29">
        <f t="shared" ref="O29" si="30">N30</f>
        <v>0</v>
      </c>
    </row>
    <row r="30" spans="4:18" x14ac:dyDescent="0.2">
      <c r="D30" s="7"/>
      <c r="I30" s="7"/>
      <c r="K30">
        <f t="shared" si="0"/>
        <v>0</v>
      </c>
      <c r="L30">
        <f t="shared" si="1"/>
        <v>0</v>
      </c>
      <c r="M30">
        <f t="shared" si="2"/>
        <v>0</v>
      </c>
      <c r="N30">
        <f t="shared" si="3"/>
        <v>0</v>
      </c>
      <c r="O30">
        <f t="shared" ref="O30" si="31">N29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_Slate">
                <anchor moveWithCells="1" sizeWithCells="1">
                  <from>
                    <xdr:col>16</xdr:col>
                    <xdr:colOff>736600</xdr:colOff>
                    <xdr:row>17</xdr:row>
                    <xdr:rowOff>0</xdr:rowOff>
                  </from>
                  <to>
                    <xdr:col>17</xdr:col>
                    <xdr:colOff>774700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New_Clear">
                <anchor moveWithCells="1" sizeWithCells="1">
                  <from>
                    <xdr:col>16</xdr:col>
                    <xdr:colOff>762000</xdr:colOff>
                    <xdr:row>22</xdr:row>
                    <xdr:rowOff>0</xdr:rowOff>
                  </from>
                  <to>
                    <xdr:col>17</xdr:col>
                    <xdr:colOff>787400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C19EE-B031-A54D-B5CB-749DE1D4ED0F}">
  <sheetPr codeName="Sheet2"/>
  <dimension ref="A1:L31"/>
  <sheetViews>
    <sheetView workbookViewId="0">
      <selection activeCell="M9" sqref="M9"/>
    </sheetView>
  </sheetViews>
  <sheetFormatPr baseColWidth="10" defaultRowHeight="16" x14ac:dyDescent="0.2"/>
  <cols>
    <col min="1" max="1" width="11.6640625" bestFit="1" customWidth="1"/>
    <col min="2" max="2" width="22.1640625" bestFit="1" customWidth="1"/>
    <col min="3" max="3" width="5" customWidth="1"/>
    <col min="4" max="4" width="22.1640625" bestFit="1" customWidth="1"/>
    <col min="5" max="5" width="11.6640625" bestFit="1" customWidth="1"/>
    <col min="6" max="7" width="10.83203125" style="3"/>
    <col min="9" max="9" width="22.1640625" bestFit="1" customWidth="1"/>
    <col min="10" max="10" width="5.33203125" customWidth="1"/>
    <col min="11" max="11" width="22.1640625" bestFit="1" customWidth="1"/>
  </cols>
  <sheetData>
    <row r="1" spans="1:12" s="1" customFormat="1" x14ac:dyDescent="0.2">
      <c r="A1" s="1" t="s">
        <v>47</v>
      </c>
      <c r="B1" s="1" t="s">
        <v>46</v>
      </c>
      <c r="D1" s="1" t="s">
        <v>46</v>
      </c>
      <c r="E1" s="1" t="s">
        <v>47</v>
      </c>
      <c r="F1" s="2"/>
      <c r="G1" s="2"/>
      <c r="H1" s="1" t="s">
        <v>67</v>
      </c>
      <c r="I1" s="1" t="s">
        <v>46</v>
      </c>
      <c r="K1" s="1" t="s">
        <v>46</v>
      </c>
      <c r="L1" s="1" t="s">
        <v>67</v>
      </c>
    </row>
    <row r="2" spans="1:12" x14ac:dyDescent="0.2">
      <c r="A2" t="s">
        <v>41</v>
      </c>
      <c r="B2" t="s">
        <v>48</v>
      </c>
      <c r="D2" t="s">
        <v>48</v>
      </c>
      <c r="E2" t="s">
        <v>41</v>
      </c>
      <c r="H2" t="s">
        <v>41</v>
      </c>
      <c r="I2" t="s">
        <v>48</v>
      </c>
      <c r="K2" t="s">
        <v>48</v>
      </c>
      <c r="L2" t="s">
        <v>41</v>
      </c>
    </row>
    <row r="3" spans="1:12" x14ac:dyDescent="0.2">
      <c r="A3" t="s">
        <v>21</v>
      </c>
      <c r="B3" t="s">
        <v>9</v>
      </c>
      <c r="D3" t="s">
        <v>9</v>
      </c>
      <c r="E3" t="s">
        <v>21</v>
      </c>
      <c r="H3" t="s">
        <v>49</v>
      </c>
      <c r="I3" t="s">
        <v>14</v>
      </c>
      <c r="K3" t="s">
        <v>14</v>
      </c>
      <c r="L3" t="s">
        <v>49</v>
      </c>
    </row>
    <row r="4" spans="1:12" x14ac:dyDescent="0.2">
      <c r="A4" t="s">
        <v>30</v>
      </c>
      <c r="B4" t="s">
        <v>65</v>
      </c>
      <c r="D4" t="s">
        <v>65</v>
      </c>
      <c r="E4" t="s">
        <v>30</v>
      </c>
      <c r="H4" t="s">
        <v>21</v>
      </c>
      <c r="I4" t="s">
        <v>9</v>
      </c>
      <c r="K4" t="s">
        <v>9</v>
      </c>
      <c r="L4" t="s">
        <v>21</v>
      </c>
    </row>
    <row r="5" spans="1:12" x14ac:dyDescent="0.2">
      <c r="A5" t="s">
        <v>42</v>
      </c>
      <c r="B5" t="s">
        <v>52</v>
      </c>
      <c r="D5" t="s">
        <v>52</v>
      </c>
      <c r="E5" t="s">
        <v>42</v>
      </c>
      <c r="H5" t="s">
        <v>50</v>
      </c>
      <c r="I5" t="s">
        <v>51</v>
      </c>
      <c r="K5" t="s">
        <v>51</v>
      </c>
      <c r="L5" t="s">
        <v>50</v>
      </c>
    </row>
    <row r="6" spans="1:12" x14ac:dyDescent="0.2">
      <c r="A6" t="s">
        <v>36</v>
      </c>
      <c r="B6" t="s">
        <v>66</v>
      </c>
      <c r="D6" t="s">
        <v>66</v>
      </c>
      <c r="E6" t="s">
        <v>36</v>
      </c>
      <c r="H6" t="s">
        <v>42</v>
      </c>
      <c r="I6" t="s">
        <v>52</v>
      </c>
      <c r="K6" t="s">
        <v>52</v>
      </c>
      <c r="L6" t="s">
        <v>42</v>
      </c>
    </row>
    <row r="7" spans="1:12" x14ac:dyDescent="0.2">
      <c r="A7" t="s">
        <v>45</v>
      </c>
      <c r="B7" t="s">
        <v>53</v>
      </c>
      <c r="D7" t="s">
        <v>53</v>
      </c>
      <c r="E7" t="s">
        <v>45</v>
      </c>
      <c r="H7" t="s">
        <v>45</v>
      </c>
      <c r="I7" t="s">
        <v>53</v>
      </c>
      <c r="K7" t="s">
        <v>53</v>
      </c>
      <c r="L7" t="s">
        <v>45</v>
      </c>
    </row>
    <row r="8" spans="1:12" x14ac:dyDescent="0.2">
      <c r="A8" t="s">
        <v>34</v>
      </c>
      <c r="B8" t="s">
        <v>1</v>
      </c>
      <c r="D8" t="s">
        <v>1</v>
      </c>
      <c r="E8" t="s">
        <v>34</v>
      </c>
      <c r="H8" t="s">
        <v>34</v>
      </c>
      <c r="I8" t="s">
        <v>1</v>
      </c>
      <c r="K8" t="s">
        <v>1</v>
      </c>
      <c r="L8" t="s">
        <v>34</v>
      </c>
    </row>
    <row r="9" spans="1:12" x14ac:dyDescent="0.2">
      <c r="A9" t="s">
        <v>23</v>
      </c>
      <c r="B9" t="s">
        <v>54</v>
      </c>
      <c r="D9" t="s">
        <v>54</v>
      </c>
      <c r="E9" t="s">
        <v>23</v>
      </c>
      <c r="H9" t="s">
        <v>23</v>
      </c>
      <c r="I9" t="s">
        <v>54</v>
      </c>
      <c r="K9" t="s">
        <v>54</v>
      </c>
      <c r="L9" t="s">
        <v>23</v>
      </c>
    </row>
    <row r="10" spans="1:12" x14ac:dyDescent="0.2">
      <c r="A10" t="s">
        <v>32</v>
      </c>
      <c r="B10" t="s">
        <v>55</v>
      </c>
      <c r="D10" t="s">
        <v>55</v>
      </c>
      <c r="E10" t="s">
        <v>32</v>
      </c>
      <c r="H10" t="s">
        <v>32</v>
      </c>
      <c r="I10" t="s">
        <v>55</v>
      </c>
      <c r="K10" t="s">
        <v>55</v>
      </c>
      <c r="L10" t="s">
        <v>32</v>
      </c>
    </row>
    <row r="11" spans="1:12" x14ac:dyDescent="0.2">
      <c r="A11" t="s">
        <v>17</v>
      </c>
      <c r="B11" t="s">
        <v>56</v>
      </c>
      <c r="D11" t="s">
        <v>56</v>
      </c>
      <c r="E11" t="s">
        <v>17</v>
      </c>
      <c r="H11" t="s">
        <v>17</v>
      </c>
      <c r="I11" t="s">
        <v>56</v>
      </c>
      <c r="K11" t="s">
        <v>56</v>
      </c>
      <c r="L11" t="s">
        <v>17</v>
      </c>
    </row>
    <row r="12" spans="1:12" x14ac:dyDescent="0.2">
      <c r="A12" t="s">
        <v>20</v>
      </c>
      <c r="B12" t="s">
        <v>12</v>
      </c>
      <c r="D12" t="s">
        <v>12</v>
      </c>
      <c r="E12" t="s">
        <v>20</v>
      </c>
      <c r="H12" t="s">
        <v>20</v>
      </c>
      <c r="I12" t="s">
        <v>12</v>
      </c>
      <c r="K12" t="s">
        <v>12</v>
      </c>
      <c r="L12" t="s">
        <v>20</v>
      </c>
    </row>
    <row r="13" spans="1:12" x14ac:dyDescent="0.2">
      <c r="A13" t="s">
        <v>27</v>
      </c>
      <c r="B13" t="s">
        <v>57</v>
      </c>
      <c r="D13" t="s">
        <v>57</v>
      </c>
      <c r="E13" t="s">
        <v>27</v>
      </c>
      <c r="H13" t="s">
        <v>27</v>
      </c>
      <c r="I13" t="s">
        <v>57</v>
      </c>
      <c r="K13" t="s">
        <v>57</v>
      </c>
      <c r="L13" t="s">
        <v>27</v>
      </c>
    </row>
    <row r="14" spans="1:12" x14ac:dyDescent="0.2">
      <c r="A14" t="s">
        <v>28</v>
      </c>
      <c r="B14" t="s">
        <v>15</v>
      </c>
      <c r="D14" t="s">
        <v>15</v>
      </c>
      <c r="E14" t="s">
        <v>28</v>
      </c>
      <c r="H14" t="s">
        <v>28</v>
      </c>
      <c r="I14" t="s">
        <v>15</v>
      </c>
      <c r="K14" t="s">
        <v>15</v>
      </c>
      <c r="L14" t="s">
        <v>28</v>
      </c>
    </row>
    <row r="15" spans="1:12" x14ac:dyDescent="0.2">
      <c r="A15" t="s">
        <v>39</v>
      </c>
      <c r="B15" t="s">
        <v>58</v>
      </c>
      <c r="D15" t="s">
        <v>58</v>
      </c>
      <c r="E15" t="s">
        <v>39</v>
      </c>
      <c r="H15" t="s">
        <v>39</v>
      </c>
      <c r="I15" t="s">
        <v>58</v>
      </c>
      <c r="K15" t="s">
        <v>58</v>
      </c>
      <c r="L15" t="s">
        <v>39</v>
      </c>
    </row>
    <row r="16" spans="1:12" x14ac:dyDescent="0.2">
      <c r="A16" t="s">
        <v>38</v>
      </c>
      <c r="B16" t="s">
        <v>4</v>
      </c>
      <c r="D16" t="s">
        <v>4</v>
      </c>
      <c r="E16" t="s">
        <v>38</v>
      </c>
      <c r="H16" t="s">
        <v>38</v>
      </c>
      <c r="I16" t="s">
        <v>4</v>
      </c>
      <c r="K16" t="s">
        <v>4</v>
      </c>
      <c r="L16" t="s">
        <v>38</v>
      </c>
    </row>
    <row r="17" spans="1:12" x14ac:dyDescent="0.2">
      <c r="A17" t="s">
        <v>33</v>
      </c>
      <c r="B17" t="s">
        <v>59</v>
      </c>
      <c r="D17" t="s">
        <v>59</v>
      </c>
      <c r="E17" t="s">
        <v>33</v>
      </c>
      <c r="H17" t="s">
        <v>33</v>
      </c>
      <c r="I17" t="s">
        <v>59</v>
      </c>
      <c r="K17" t="s">
        <v>59</v>
      </c>
      <c r="L17" t="s">
        <v>33</v>
      </c>
    </row>
    <row r="18" spans="1:12" x14ac:dyDescent="0.2">
      <c r="A18" t="s">
        <v>16</v>
      </c>
      <c r="B18" t="s">
        <v>0</v>
      </c>
      <c r="D18" t="s">
        <v>0</v>
      </c>
      <c r="E18" t="s">
        <v>16</v>
      </c>
      <c r="H18" t="s">
        <v>16</v>
      </c>
      <c r="I18" t="s">
        <v>0</v>
      </c>
      <c r="K18" t="s">
        <v>0</v>
      </c>
      <c r="L18" t="s">
        <v>16</v>
      </c>
    </row>
    <row r="19" spans="1:12" x14ac:dyDescent="0.2">
      <c r="A19" t="s">
        <v>35</v>
      </c>
      <c r="B19" t="s">
        <v>60</v>
      </c>
      <c r="D19" t="s">
        <v>60</v>
      </c>
      <c r="E19" t="s">
        <v>35</v>
      </c>
      <c r="H19" t="s">
        <v>35</v>
      </c>
      <c r="I19" t="s">
        <v>60</v>
      </c>
      <c r="K19" t="s">
        <v>60</v>
      </c>
      <c r="L19" t="s">
        <v>35</v>
      </c>
    </row>
    <row r="20" spans="1:12" x14ac:dyDescent="0.2">
      <c r="A20" t="s">
        <v>37</v>
      </c>
      <c r="B20" t="s">
        <v>7</v>
      </c>
      <c r="D20" t="s">
        <v>7</v>
      </c>
      <c r="E20" t="s">
        <v>37</v>
      </c>
      <c r="H20" t="s">
        <v>37</v>
      </c>
      <c r="I20" t="s">
        <v>7</v>
      </c>
      <c r="K20" t="s">
        <v>7</v>
      </c>
      <c r="L20" t="s">
        <v>37</v>
      </c>
    </row>
    <row r="21" spans="1:12" x14ac:dyDescent="0.2">
      <c r="A21" t="s">
        <v>44</v>
      </c>
      <c r="B21" t="s">
        <v>61</v>
      </c>
      <c r="D21" t="s">
        <v>61</v>
      </c>
      <c r="E21" t="s">
        <v>44</v>
      </c>
      <c r="H21" t="s">
        <v>44</v>
      </c>
      <c r="I21" t="s">
        <v>61</v>
      </c>
      <c r="K21" t="s">
        <v>61</v>
      </c>
      <c r="L21" t="s">
        <v>44</v>
      </c>
    </row>
    <row r="22" spans="1:12" x14ac:dyDescent="0.2">
      <c r="A22" t="s">
        <v>26</v>
      </c>
      <c r="B22" t="s">
        <v>3</v>
      </c>
      <c r="D22" t="s">
        <v>3</v>
      </c>
      <c r="E22" t="s">
        <v>26</v>
      </c>
      <c r="H22" t="s">
        <v>26</v>
      </c>
      <c r="I22" t="s">
        <v>3</v>
      </c>
      <c r="K22" t="s">
        <v>3</v>
      </c>
      <c r="L22" t="s">
        <v>26</v>
      </c>
    </row>
    <row r="23" spans="1:12" x14ac:dyDescent="0.2">
      <c r="A23" t="s">
        <v>29</v>
      </c>
      <c r="B23" t="s">
        <v>8</v>
      </c>
      <c r="D23" t="s">
        <v>8</v>
      </c>
      <c r="E23" t="s">
        <v>29</v>
      </c>
      <c r="H23" t="s">
        <v>29</v>
      </c>
      <c r="I23" t="s">
        <v>8</v>
      </c>
      <c r="K23" t="s">
        <v>8</v>
      </c>
      <c r="L23" t="s">
        <v>29</v>
      </c>
    </row>
    <row r="24" spans="1:12" x14ac:dyDescent="0.2">
      <c r="A24" t="s">
        <v>24</v>
      </c>
      <c r="B24" t="s">
        <v>10</v>
      </c>
      <c r="D24" t="s">
        <v>10</v>
      </c>
      <c r="E24" t="s">
        <v>24</v>
      </c>
      <c r="H24" t="s">
        <v>24</v>
      </c>
      <c r="I24" t="s">
        <v>10</v>
      </c>
      <c r="K24" t="s">
        <v>10</v>
      </c>
      <c r="L24" t="s">
        <v>24</v>
      </c>
    </row>
    <row r="25" spans="1:12" x14ac:dyDescent="0.2">
      <c r="A25" t="s">
        <v>43</v>
      </c>
      <c r="B25" t="s">
        <v>63</v>
      </c>
      <c r="D25" t="s">
        <v>63</v>
      </c>
      <c r="E25" t="s">
        <v>43</v>
      </c>
      <c r="H25" t="s">
        <v>62</v>
      </c>
      <c r="I25" t="s">
        <v>63</v>
      </c>
      <c r="K25" t="s">
        <v>63</v>
      </c>
      <c r="L25" t="s">
        <v>62</v>
      </c>
    </row>
    <row r="26" spans="1:12" x14ac:dyDescent="0.2">
      <c r="A26" t="s">
        <v>22</v>
      </c>
      <c r="B26" t="s">
        <v>11</v>
      </c>
      <c r="D26" t="s">
        <v>11</v>
      </c>
      <c r="E26" t="s">
        <v>22</v>
      </c>
      <c r="H26" t="s">
        <v>22</v>
      </c>
      <c r="I26" t="s">
        <v>11</v>
      </c>
      <c r="K26" t="s">
        <v>11</v>
      </c>
      <c r="L26" t="s">
        <v>22</v>
      </c>
    </row>
    <row r="27" spans="1:12" x14ac:dyDescent="0.2">
      <c r="A27" t="s">
        <v>31</v>
      </c>
      <c r="B27" t="s">
        <v>13</v>
      </c>
      <c r="D27" t="s">
        <v>13</v>
      </c>
      <c r="E27" t="s">
        <v>31</v>
      </c>
      <c r="H27" t="s">
        <v>31</v>
      </c>
      <c r="I27" t="s">
        <v>13</v>
      </c>
      <c r="K27" t="s">
        <v>13</v>
      </c>
      <c r="L27" t="s">
        <v>31</v>
      </c>
    </row>
    <row r="28" spans="1:12" x14ac:dyDescent="0.2">
      <c r="A28" t="s">
        <v>25</v>
      </c>
      <c r="B28" t="s">
        <v>6</v>
      </c>
      <c r="D28" t="s">
        <v>6</v>
      </c>
      <c r="E28" t="s">
        <v>25</v>
      </c>
      <c r="H28" t="s">
        <v>25</v>
      </c>
      <c r="I28" t="s">
        <v>6</v>
      </c>
      <c r="K28" t="s">
        <v>6</v>
      </c>
      <c r="L28" t="s">
        <v>25</v>
      </c>
    </row>
    <row r="29" spans="1:12" x14ac:dyDescent="0.2">
      <c r="A29" t="s">
        <v>18</v>
      </c>
      <c r="B29" t="s">
        <v>5</v>
      </c>
      <c r="D29" t="s">
        <v>5</v>
      </c>
      <c r="E29" t="s">
        <v>18</v>
      </c>
      <c r="H29" t="s">
        <v>18</v>
      </c>
      <c r="I29" t="s">
        <v>5</v>
      </c>
      <c r="K29" t="s">
        <v>5</v>
      </c>
      <c r="L29" t="s">
        <v>18</v>
      </c>
    </row>
    <row r="30" spans="1:12" x14ac:dyDescent="0.2">
      <c r="A30" t="s">
        <v>19</v>
      </c>
      <c r="B30" t="s">
        <v>64</v>
      </c>
      <c r="D30" t="s">
        <v>64</v>
      </c>
      <c r="E30" t="s">
        <v>19</v>
      </c>
      <c r="H30" t="s">
        <v>19</v>
      </c>
      <c r="I30" t="s">
        <v>64</v>
      </c>
      <c r="K30" t="s">
        <v>64</v>
      </c>
      <c r="L30" t="s">
        <v>19</v>
      </c>
    </row>
    <row r="31" spans="1:12" x14ac:dyDescent="0.2">
      <c r="A31" t="s">
        <v>40</v>
      </c>
      <c r="B31" t="s">
        <v>2</v>
      </c>
      <c r="D31" t="s">
        <v>2</v>
      </c>
      <c r="E31" t="s">
        <v>40</v>
      </c>
      <c r="H31" t="s">
        <v>40</v>
      </c>
      <c r="I31" t="s">
        <v>2</v>
      </c>
      <c r="K31" t="s">
        <v>2</v>
      </c>
      <c r="L3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Today's Games</vt:lpstr>
      <vt:lpstr>Today's Odds</vt:lpstr>
      <vt:lpstr>Today's Games v2</vt:lpstr>
      <vt:lpstr>Team Match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2020-08-06T22:30:09Z</dcterms:created>
  <dcterms:modified xsi:type="dcterms:W3CDTF">2021-09-14T23:21:21Z</dcterms:modified>
</cp:coreProperties>
</file>