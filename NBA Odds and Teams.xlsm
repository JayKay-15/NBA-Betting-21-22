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sse/Documents/MyStuff/NBA Betting/NBA-Betting-21-22/"/>
    </mc:Choice>
  </mc:AlternateContent>
  <xr:revisionPtr revIDLastSave="0" documentId="13_ncr:1_{AF752F82-249C-9748-9828-FF341FA07196}" xr6:coauthVersionLast="47" xr6:coauthVersionMax="47" xr10:uidLastSave="{00000000-0000-0000-0000-000000000000}"/>
  <bookViews>
    <workbookView xWindow="100" yWindow="500" windowWidth="24780" windowHeight="14400" activeTab="1" xr2:uid="{5E7A6F3B-51AB-294C-8CCC-064589360173}"/>
  </bookViews>
  <sheets>
    <sheet name="Today's Games" sheetId="1" r:id="rId1"/>
    <sheet name="Today's Odds" sheetId="4" r:id="rId2"/>
    <sheet name="Today's Games v2" sheetId="3" r:id="rId3"/>
    <sheet name="Test Slate" sheetId="5" r:id="rId4"/>
    <sheet name="Team Match" sheetId="2" r:id="rId5"/>
  </sheets>
  <definedNames>
    <definedName name="_xlnm._FilterDatabase" localSheetId="4" hidden="1">'Team Match'!$D$1:$E$32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" l="1"/>
  <c r="L2" i="3"/>
  <c r="M2" i="3"/>
  <c r="N2" i="3"/>
  <c r="K3" i="3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K12" i="3"/>
  <c r="L12" i="3"/>
  <c r="M12" i="3"/>
  <c r="N1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K22" i="3"/>
  <c r="L22" i="3"/>
  <c r="M22" i="3"/>
  <c r="N2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1" i="3"/>
  <c r="N1" i="3"/>
  <c r="L1" i="3"/>
  <c r="M1" i="3"/>
  <c r="N1" i="1" l="1"/>
  <c r="O2" i="1" s="1"/>
  <c r="R15" i="1"/>
  <c r="R14" i="1"/>
  <c r="R13" i="1"/>
  <c r="R12" i="1"/>
  <c r="R11" i="1"/>
  <c r="R10" i="1"/>
  <c r="R9" i="1"/>
  <c r="R8" i="1"/>
  <c r="R7" i="1"/>
  <c r="Q15" i="1"/>
  <c r="Q14" i="1"/>
  <c r="Q13" i="1"/>
  <c r="Q12" i="1"/>
  <c r="Q11" i="1"/>
  <c r="Q10" i="1"/>
  <c r="Q9" i="1"/>
  <c r="Q8" i="1"/>
  <c r="Q7" i="1"/>
  <c r="R6" i="1"/>
  <c r="Q6" i="1"/>
  <c r="R5" i="1"/>
  <c r="Q5" i="1"/>
  <c r="R4" i="1"/>
  <c r="Q4" i="1"/>
  <c r="R3" i="1"/>
  <c r="Q3" i="1"/>
  <c r="R2" i="1"/>
  <c r="Q2" i="1"/>
  <c r="R1" i="1"/>
  <c r="Q1" i="1"/>
  <c r="N3" i="1"/>
  <c r="O4" i="1" s="1"/>
  <c r="N4" i="1"/>
  <c r="O3" i="1" s="1"/>
  <c r="N5" i="1"/>
  <c r="O6" i="1" s="1"/>
  <c r="N6" i="1"/>
  <c r="O5" i="1" s="1"/>
  <c r="N7" i="1"/>
  <c r="O8" i="1" s="1"/>
  <c r="N8" i="1"/>
  <c r="O7" i="1" s="1"/>
  <c r="N9" i="1"/>
  <c r="O10" i="1" s="1"/>
  <c r="N10" i="1"/>
  <c r="O9" i="1" s="1"/>
  <c r="N11" i="1"/>
  <c r="O12" i="1" s="1"/>
  <c r="N12" i="1"/>
  <c r="O11" i="1" s="1"/>
  <c r="N13" i="1"/>
  <c r="O14" i="1" s="1"/>
  <c r="N14" i="1"/>
  <c r="O13" i="1" s="1"/>
  <c r="N15" i="1"/>
  <c r="O16" i="1" s="1"/>
  <c r="N16" i="1"/>
  <c r="O15" i="1" s="1"/>
  <c r="N17" i="1"/>
  <c r="O18" i="1" s="1"/>
  <c r="N18" i="1"/>
  <c r="O17" i="1" s="1"/>
  <c r="N19" i="1"/>
  <c r="O20" i="1" s="1"/>
  <c r="N20" i="1"/>
  <c r="O19" i="1" s="1"/>
  <c r="N21" i="1"/>
  <c r="O22" i="1" s="1"/>
  <c r="N22" i="1"/>
  <c r="O21" i="1" s="1"/>
  <c r="N23" i="1"/>
  <c r="O24" i="1" s="1"/>
  <c r="N24" i="1"/>
  <c r="O23" i="1" s="1"/>
  <c r="N25" i="1"/>
  <c r="O26" i="1" s="1"/>
  <c r="N26" i="1"/>
  <c r="O25" i="1" s="1"/>
  <c r="N27" i="1"/>
  <c r="O28" i="1" s="1"/>
  <c r="N28" i="1"/>
  <c r="O27" i="1" s="1"/>
  <c r="N29" i="1"/>
  <c r="O30" i="1" s="1"/>
  <c r="N30" i="1"/>
  <c r="O29" i="1" s="1"/>
  <c r="N2" i="1"/>
  <c r="O1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M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2" i="1"/>
  <c r="L1" i="1"/>
</calcChain>
</file>

<file path=xl/sharedStrings.xml><?xml version="1.0" encoding="utf-8"?>
<sst xmlns="http://schemas.openxmlformats.org/spreadsheetml/2006/main" count="443" uniqueCount="111">
  <si>
    <t>Milwaukee Bucks</t>
  </si>
  <si>
    <t>Dallas Mavericks</t>
  </si>
  <si>
    <t>Washington Wizards</t>
  </si>
  <si>
    <t>Oklahoma City Thunder</t>
  </si>
  <si>
    <t>Memphis Grizzlies</t>
  </si>
  <si>
    <t>Toronto Raptors</t>
  </si>
  <si>
    <t>San Antonio Spurs</t>
  </si>
  <si>
    <t>New Orleans Pelicans</t>
  </si>
  <si>
    <t>Orlando Magic</t>
  </si>
  <si>
    <t>Boston Celtics</t>
  </si>
  <si>
    <t>Philadelphia 76ers</t>
  </si>
  <si>
    <t>Portland Trail Blazers</t>
  </si>
  <si>
    <t>Houston Rockets</t>
  </si>
  <si>
    <t>Sacramento Kings</t>
  </si>
  <si>
    <t>Brooklyn Nets</t>
  </si>
  <si>
    <t>Los Angeles Clippers</t>
  </si>
  <si>
    <t>MIL</t>
  </si>
  <si>
    <t>GSW</t>
  </si>
  <si>
    <t>TOR</t>
  </si>
  <si>
    <t>UTA</t>
  </si>
  <si>
    <t>HOU</t>
  </si>
  <si>
    <t>BOS</t>
  </si>
  <si>
    <t>POR</t>
  </si>
  <si>
    <t>DEN</t>
  </si>
  <si>
    <t>PHI</t>
  </si>
  <si>
    <t>SAS</t>
  </si>
  <si>
    <t>OKC</t>
  </si>
  <si>
    <t>IND</t>
  </si>
  <si>
    <t>LAC</t>
  </si>
  <si>
    <t>ORL</t>
  </si>
  <si>
    <t>BRK</t>
  </si>
  <si>
    <t>SAC</t>
  </si>
  <si>
    <t>DET</t>
  </si>
  <si>
    <t>MIA</t>
  </si>
  <si>
    <t>DAL</t>
  </si>
  <si>
    <t>MIN</t>
  </si>
  <si>
    <t>CHO</t>
  </si>
  <si>
    <t>NOP</t>
  </si>
  <si>
    <t>MEM</t>
  </si>
  <si>
    <t>LAL</t>
  </si>
  <si>
    <t>WAS</t>
  </si>
  <si>
    <t>ATL</t>
  </si>
  <si>
    <t>CHI</t>
  </si>
  <si>
    <t>PHO</t>
  </si>
  <si>
    <t>NYK</t>
  </si>
  <si>
    <t>CLE</t>
  </si>
  <si>
    <t>Team</t>
  </si>
  <si>
    <t>Abbreviation</t>
  </si>
  <si>
    <t>Atlanta Hawks</t>
  </si>
  <si>
    <t>BKN</t>
  </si>
  <si>
    <t>CHA</t>
  </si>
  <si>
    <t>Charlotte Hornets</t>
  </si>
  <si>
    <t>Chicago Bulls</t>
  </si>
  <si>
    <t>Cleveland Cavaliers</t>
  </si>
  <si>
    <t>Denver Nuggets</t>
  </si>
  <si>
    <t>Detroit Pistons</t>
  </si>
  <si>
    <t>Golden State Warriors</t>
  </si>
  <si>
    <t>Indiana Pacers</t>
  </si>
  <si>
    <t>Los Angeles Lakers</t>
  </si>
  <si>
    <t>Miami Heat</t>
  </si>
  <si>
    <t>Minnesota Timberwolves</t>
  </si>
  <si>
    <t>New York Knicks</t>
  </si>
  <si>
    <t>PHX</t>
  </si>
  <si>
    <t>Phoenix Suns</t>
  </si>
  <si>
    <t>Utah Jazz</t>
  </si>
  <si>
    <t>Brroklyn Nets</t>
  </si>
  <si>
    <t>Charlette Hornets</t>
  </si>
  <si>
    <t>Official</t>
  </si>
  <si>
    <t>Paste in A1</t>
  </si>
  <si>
    <t>Paste in H1</t>
  </si>
  <si>
    <t>L-O for Results Book</t>
  </si>
  <si>
    <t>A-C for Today's Games</t>
  </si>
  <si>
    <t>Paste odds in A1</t>
  </si>
  <si>
    <t>Paste slate in F1</t>
  </si>
  <si>
    <t>Q-R for Slate</t>
  </si>
  <si>
    <t>Spread</t>
  </si>
  <si>
    <t>ML</t>
  </si>
  <si>
    <t>Total</t>
  </si>
  <si>
    <t>+ 117 Bets</t>
  </si>
  <si>
    <t>-6.0 (-110)</t>
  </si>
  <si>
    <t>+6.0 (-110)</t>
  </si>
  <si>
    <t>O216.0 (-110)</t>
  </si>
  <si>
    <t>U216.0 (-110)</t>
  </si>
  <si>
    <t>+ 100 Bets</t>
  </si>
  <si>
    <t>-7.0 (-110)</t>
  </si>
  <si>
    <t>+7.0 (-110)</t>
  </si>
  <si>
    <t>O211.5 (-110)</t>
  </si>
  <si>
    <t>U211.5 (-110)</t>
  </si>
  <si>
    <t>+ 102 Bets</t>
  </si>
  <si>
    <t>-4.0 (-110)</t>
  </si>
  <si>
    <t>+4.0 (-110)</t>
  </si>
  <si>
    <t>O207.0 (-110)</t>
  </si>
  <si>
    <t>U207.0 (-110)</t>
  </si>
  <si>
    <t>+ 92 Bets</t>
  </si>
  <si>
    <t>+2.5 (-110)</t>
  </si>
  <si>
    <t>-2.5 (-110)</t>
  </si>
  <si>
    <t>O220.0 (-110)</t>
  </si>
  <si>
    <t>U220.0 (-110)</t>
  </si>
  <si>
    <t>Change K1 to '=A1'</t>
  </si>
  <si>
    <t/>
  </si>
  <si>
    <t>+7.0 (-115)</t>
  </si>
  <si>
    <t>-7.0 (-105)</t>
  </si>
  <si>
    <t>+11.0 (-115)</t>
  </si>
  <si>
    <t>-11.0 (-105)</t>
  </si>
  <si>
    <t>+10.5 (-110)</t>
  </si>
  <si>
    <t>-10.5 (-110)</t>
  </si>
  <si>
    <t>221.0 (-110)</t>
  </si>
  <si>
    <t>226.0 (-115)</t>
  </si>
  <si>
    <t>226.0 (-105)</t>
  </si>
  <si>
    <t>230.0 (-110)</t>
  </si>
  <si>
    <t>223.5 (-110)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</si>
</sst>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8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NumberFormat="1"/>
    <xf numFmtId="0" fontId="0" fillId="3" borderId="0" xfId="0" applyFill="1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63500</xdr:rowOff>
        </xdr:from>
        <xdr:to>
          <xdr:col>5</xdr:col>
          <xdr:colOff>1676400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76200</xdr:rowOff>
        </xdr:from>
        <xdr:to>
          <xdr:col>5</xdr:col>
          <xdr:colOff>1651000</xdr:colOff>
          <xdr:row>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736600</xdr:colOff>
          <xdr:row>17</xdr:row>
          <xdr:rowOff>0</xdr:rowOff>
        </xdr:from>
        <xdr:to>
          <xdr:col>17</xdr:col>
          <xdr:colOff>774700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22</xdr:row>
          <xdr:rowOff>0</xdr:rowOff>
        </xdr:from>
        <xdr:to>
          <xdr:col>17</xdr:col>
          <xdr:colOff>787400</xdr:colOff>
          <xdr:row>26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02F8-88ED-2A44-9DA4-60FC1343A164}">
  <sheetPr codeName="Sheet1"/>
  <dimension ref="B1:R30"/>
  <sheetViews>
    <sheetView workbookViewId="0"/>
  </sheetViews>
  <sheetFormatPr baseColWidth="10" defaultRowHeight="16" x14ac:dyDescent="0.2"/>
  <cols>
    <col min="1" max="1" width="24.83203125" customWidth="1"/>
    <col min="2" max="3" width="8.83203125" customWidth="1"/>
    <col min="4" max="5" width="2.83203125" customWidth="1"/>
    <col min="6" max="6" width="22.1640625" customWidth="1"/>
    <col min="7" max="7" width="2.83203125" customWidth="1"/>
    <col min="8" max="8" width="4.83203125" customWidth="1"/>
    <col min="9" max="9" width="4.83203125" style="9" customWidth="1"/>
    <col min="10" max="10" width="4.83203125" customWidth="1"/>
    <col min="11" max="11" width="2.83203125" customWidth="1"/>
    <col min="12" max="13" width="8.83203125" customWidth="1"/>
    <col min="14" max="15" width="22.1640625" bestFit="1" customWidth="1"/>
    <col min="16" max="16" width="4.83203125" customWidth="1"/>
    <col min="17" max="18" width="24.83203125" customWidth="1"/>
    <col min="19" max="19" width="4.83203125" customWidth="1"/>
  </cols>
  <sheetData>
    <row r="1" spans="2:18" x14ac:dyDescent="0.2">
      <c r="B1" s="5"/>
      <c r="F1" s="6" t="s">
        <v>68</v>
      </c>
      <c r="L1">
        <f>I1</f>
        <v>0</v>
      </c>
      <c r="M1">
        <f>J1</f>
        <v>0</v>
      </c>
      <c r="N1">
        <f>H1</f>
        <v>0</v>
      </c>
      <c r="O1">
        <f>N2</f>
        <v>0</v>
      </c>
      <c r="Q1">
        <f>H1</f>
        <v>0</v>
      </c>
      <c r="R1">
        <f>H2</f>
        <v>0</v>
      </c>
    </row>
    <row r="2" spans="2:18" x14ac:dyDescent="0.2">
      <c r="L2">
        <f>I2</f>
        <v>0</v>
      </c>
      <c r="M2">
        <f>J2</f>
        <v>0</v>
      </c>
      <c r="N2">
        <f>H2</f>
        <v>0</v>
      </c>
      <c r="O2">
        <f>N1</f>
        <v>0</v>
      </c>
      <c r="Q2">
        <f>H3</f>
        <v>0</v>
      </c>
      <c r="R2">
        <f>H4</f>
        <v>0</v>
      </c>
    </row>
    <row r="3" spans="2:18" x14ac:dyDescent="0.2">
      <c r="B3" s="5"/>
      <c r="L3">
        <f t="shared" ref="L3:L30" si="0">I3</f>
        <v>0</v>
      </c>
      <c r="M3">
        <f t="shared" ref="M3:M30" si="1">J3</f>
        <v>0</v>
      </c>
      <c r="N3">
        <f t="shared" ref="N3:N30" si="2">H3</f>
        <v>0</v>
      </c>
      <c r="O3">
        <f t="shared" ref="O3" si="3">N4</f>
        <v>0</v>
      </c>
      <c r="Q3">
        <f>H5</f>
        <v>0</v>
      </c>
      <c r="R3">
        <f>H6</f>
        <v>0</v>
      </c>
    </row>
    <row r="4" spans="2:18" x14ac:dyDescent="0.2">
      <c r="L4">
        <f t="shared" si="0"/>
        <v>0</v>
      </c>
      <c r="M4">
        <f t="shared" si="1"/>
        <v>0</v>
      </c>
      <c r="N4">
        <f t="shared" si="2"/>
        <v>0</v>
      </c>
      <c r="O4">
        <f t="shared" ref="O4" si="4">N3</f>
        <v>0</v>
      </c>
      <c r="Q4">
        <f>H7</f>
        <v>0</v>
      </c>
      <c r="R4">
        <f>H8</f>
        <v>0</v>
      </c>
    </row>
    <row r="5" spans="2:18" x14ac:dyDescent="0.2">
      <c r="B5" s="5"/>
      <c r="L5">
        <f t="shared" si="0"/>
        <v>0</v>
      </c>
      <c r="M5">
        <f t="shared" si="1"/>
        <v>0</v>
      </c>
      <c r="N5">
        <f t="shared" si="2"/>
        <v>0</v>
      </c>
      <c r="O5">
        <f t="shared" ref="O5" si="5">N6</f>
        <v>0</v>
      </c>
      <c r="Q5">
        <f>H9</f>
        <v>0</v>
      </c>
      <c r="R5">
        <f>H10</f>
        <v>0</v>
      </c>
    </row>
    <row r="6" spans="2:18" x14ac:dyDescent="0.2">
      <c r="F6" s="6" t="s">
        <v>69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ref="O6" si="6">N5</f>
        <v>0</v>
      </c>
      <c r="Q6">
        <f>H11</f>
        <v>0</v>
      </c>
      <c r="R6">
        <f>H12</f>
        <v>0</v>
      </c>
    </row>
    <row r="7" spans="2:18" x14ac:dyDescent="0.2">
      <c r="B7" s="5"/>
      <c r="L7">
        <f t="shared" si="0"/>
        <v>0</v>
      </c>
      <c r="M7">
        <f t="shared" si="1"/>
        <v>0</v>
      </c>
      <c r="N7">
        <f t="shared" si="2"/>
        <v>0</v>
      </c>
      <c r="O7">
        <f t="shared" ref="O7" si="7">N8</f>
        <v>0</v>
      </c>
      <c r="Q7">
        <f>H13</f>
        <v>0</v>
      </c>
      <c r="R7">
        <f>H14</f>
        <v>0</v>
      </c>
    </row>
    <row r="8" spans="2:18" x14ac:dyDescent="0.2">
      <c r="L8">
        <f t="shared" si="0"/>
        <v>0</v>
      </c>
      <c r="M8">
        <f t="shared" si="1"/>
        <v>0</v>
      </c>
      <c r="N8">
        <f t="shared" si="2"/>
        <v>0</v>
      </c>
      <c r="O8">
        <f t="shared" ref="O8" si="8">N7</f>
        <v>0</v>
      </c>
      <c r="Q8">
        <f>H15</f>
        <v>0</v>
      </c>
      <c r="R8">
        <f>H16</f>
        <v>0</v>
      </c>
    </row>
    <row r="9" spans="2:18" x14ac:dyDescent="0.2">
      <c r="B9" s="5"/>
      <c r="L9">
        <f t="shared" si="0"/>
        <v>0</v>
      </c>
      <c r="M9">
        <f t="shared" si="1"/>
        <v>0</v>
      </c>
      <c r="N9">
        <f t="shared" si="2"/>
        <v>0</v>
      </c>
      <c r="O9">
        <f t="shared" ref="O9" si="9">N10</f>
        <v>0</v>
      </c>
      <c r="Q9">
        <f>H17</f>
        <v>0</v>
      </c>
      <c r="R9">
        <f>H18</f>
        <v>0</v>
      </c>
    </row>
    <row r="10" spans="2:18" x14ac:dyDescent="0.2">
      <c r="E10" s="4"/>
      <c r="L10">
        <f t="shared" si="0"/>
        <v>0</v>
      </c>
      <c r="M10">
        <f t="shared" si="1"/>
        <v>0</v>
      </c>
      <c r="N10">
        <f t="shared" si="2"/>
        <v>0</v>
      </c>
      <c r="O10">
        <f t="shared" ref="O10" si="10">N9</f>
        <v>0</v>
      </c>
      <c r="Q10">
        <f>H19</f>
        <v>0</v>
      </c>
      <c r="R10">
        <f>H20</f>
        <v>0</v>
      </c>
    </row>
    <row r="11" spans="2:18" x14ac:dyDescent="0.2">
      <c r="B11" s="5"/>
      <c r="E11" s="5"/>
      <c r="F11" t="s">
        <v>71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ref="O11" si="11">N12</f>
        <v>0</v>
      </c>
      <c r="Q11">
        <f>H21</f>
        <v>0</v>
      </c>
      <c r="R11">
        <f>H22</f>
        <v>0</v>
      </c>
    </row>
    <row r="12" spans="2:18" x14ac:dyDescent="0.2">
      <c r="F12" t="s">
        <v>70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ref="O12" si="12">N11</f>
        <v>0</v>
      </c>
      <c r="Q12">
        <f>H23</f>
        <v>0</v>
      </c>
      <c r="R12">
        <f>H24</f>
        <v>0</v>
      </c>
    </row>
    <row r="13" spans="2:18" x14ac:dyDescent="0.2">
      <c r="B13" s="5"/>
      <c r="F13" t="s">
        <v>74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ref="O13" si="13">N14</f>
        <v>0</v>
      </c>
      <c r="Q13">
        <f>H25</f>
        <v>0</v>
      </c>
      <c r="R13">
        <f>H26</f>
        <v>0</v>
      </c>
    </row>
    <row r="14" spans="2:18" x14ac:dyDescent="0.2">
      <c r="L14">
        <f t="shared" si="0"/>
        <v>0</v>
      </c>
      <c r="M14">
        <f t="shared" si="1"/>
        <v>0</v>
      </c>
      <c r="N14">
        <f t="shared" si="2"/>
        <v>0</v>
      </c>
      <c r="O14">
        <f t="shared" ref="O14" si="14">N13</f>
        <v>0</v>
      </c>
      <c r="Q14">
        <f>H27</f>
        <v>0</v>
      </c>
      <c r="R14">
        <f>H28</f>
        <v>0</v>
      </c>
    </row>
    <row r="15" spans="2:18" x14ac:dyDescent="0.2">
      <c r="B15" s="5"/>
      <c r="L15">
        <f t="shared" si="0"/>
        <v>0</v>
      </c>
      <c r="M15">
        <f t="shared" si="1"/>
        <v>0</v>
      </c>
      <c r="N15">
        <f t="shared" si="2"/>
        <v>0</v>
      </c>
      <c r="O15">
        <f t="shared" ref="O15" si="15">N16</f>
        <v>0</v>
      </c>
      <c r="Q15">
        <f>H29</f>
        <v>0</v>
      </c>
      <c r="R15">
        <f>H30</f>
        <v>0</v>
      </c>
    </row>
    <row r="16" spans="2:18" x14ac:dyDescent="0.2">
      <c r="L16">
        <f t="shared" si="0"/>
        <v>0</v>
      </c>
      <c r="M16">
        <f t="shared" si="1"/>
        <v>0</v>
      </c>
      <c r="N16">
        <f t="shared" si="2"/>
        <v>0</v>
      </c>
      <c r="O16">
        <f t="shared" ref="O16" si="16">N15</f>
        <v>0</v>
      </c>
    </row>
    <row r="17" spans="2:15" x14ac:dyDescent="0.2">
      <c r="B17" s="5"/>
      <c r="L17">
        <f t="shared" si="0"/>
        <v>0</v>
      </c>
      <c r="M17">
        <f t="shared" si="1"/>
        <v>0</v>
      </c>
      <c r="N17">
        <f t="shared" si="2"/>
        <v>0</v>
      </c>
      <c r="O17">
        <f t="shared" ref="O17" si="17">N18</f>
        <v>0</v>
      </c>
    </row>
    <row r="18" spans="2:15" x14ac:dyDescent="0.2">
      <c r="L18">
        <f t="shared" si="0"/>
        <v>0</v>
      </c>
      <c r="M18">
        <f t="shared" si="1"/>
        <v>0</v>
      </c>
      <c r="N18">
        <f t="shared" si="2"/>
        <v>0</v>
      </c>
      <c r="O18">
        <f t="shared" ref="O18" si="18">N17</f>
        <v>0</v>
      </c>
    </row>
    <row r="19" spans="2:15" x14ac:dyDescent="0.2">
      <c r="B19" s="5"/>
      <c r="L19">
        <f t="shared" si="0"/>
        <v>0</v>
      </c>
      <c r="M19">
        <f t="shared" si="1"/>
        <v>0</v>
      </c>
      <c r="N19">
        <f t="shared" si="2"/>
        <v>0</v>
      </c>
      <c r="O19">
        <f t="shared" ref="O19" si="19">N20</f>
        <v>0</v>
      </c>
    </row>
    <row r="20" spans="2:15" x14ac:dyDescent="0.2">
      <c r="L20">
        <f t="shared" si="0"/>
        <v>0</v>
      </c>
      <c r="M20">
        <f t="shared" si="1"/>
        <v>0</v>
      </c>
      <c r="N20">
        <f t="shared" si="2"/>
        <v>0</v>
      </c>
      <c r="O20">
        <f t="shared" ref="O20" si="20">N19</f>
        <v>0</v>
      </c>
    </row>
    <row r="21" spans="2:15" x14ac:dyDescent="0.2">
      <c r="B21" s="5"/>
      <c r="L21">
        <f t="shared" si="0"/>
        <v>0</v>
      </c>
      <c r="M21">
        <f t="shared" si="1"/>
        <v>0</v>
      </c>
      <c r="N21">
        <f t="shared" si="2"/>
        <v>0</v>
      </c>
      <c r="O21">
        <f t="shared" ref="O21" si="21">N22</f>
        <v>0</v>
      </c>
    </row>
    <row r="22" spans="2:15" x14ac:dyDescent="0.2">
      <c r="L22">
        <f t="shared" si="0"/>
        <v>0</v>
      </c>
      <c r="M22">
        <f t="shared" si="1"/>
        <v>0</v>
      </c>
      <c r="N22">
        <f t="shared" si="2"/>
        <v>0</v>
      </c>
      <c r="O22">
        <f t="shared" ref="O22" si="22">N21</f>
        <v>0</v>
      </c>
    </row>
    <row r="23" spans="2:15" x14ac:dyDescent="0.2">
      <c r="B23" s="5"/>
      <c r="L23">
        <f t="shared" si="0"/>
        <v>0</v>
      </c>
      <c r="M23">
        <f t="shared" si="1"/>
        <v>0</v>
      </c>
      <c r="N23">
        <f t="shared" si="2"/>
        <v>0</v>
      </c>
      <c r="O23">
        <f t="shared" ref="O23" si="23">N24</f>
        <v>0</v>
      </c>
    </row>
    <row r="24" spans="2:15" x14ac:dyDescent="0.2">
      <c r="L24">
        <f t="shared" si="0"/>
        <v>0</v>
      </c>
      <c r="M24">
        <f t="shared" si="1"/>
        <v>0</v>
      </c>
      <c r="N24">
        <f t="shared" si="2"/>
        <v>0</v>
      </c>
      <c r="O24">
        <f t="shared" ref="O24" si="24">N23</f>
        <v>0</v>
      </c>
    </row>
    <row r="25" spans="2:15" x14ac:dyDescent="0.2">
      <c r="B25" s="5"/>
      <c r="L25">
        <f t="shared" si="0"/>
        <v>0</v>
      </c>
      <c r="M25">
        <f t="shared" si="1"/>
        <v>0</v>
      </c>
      <c r="N25">
        <f t="shared" si="2"/>
        <v>0</v>
      </c>
      <c r="O25">
        <f t="shared" ref="O25" si="25">N26</f>
        <v>0</v>
      </c>
    </row>
    <row r="26" spans="2:15" x14ac:dyDescent="0.2">
      <c r="L26">
        <f t="shared" si="0"/>
        <v>0</v>
      </c>
      <c r="M26">
        <f t="shared" si="1"/>
        <v>0</v>
      </c>
      <c r="N26">
        <f t="shared" si="2"/>
        <v>0</v>
      </c>
      <c r="O26">
        <f t="shared" ref="O26" si="26">N25</f>
        <v>0</v>
      </c>
    </row>
    <row r="27" spans="2:15" x14ac:dyDescent="0.2">
      <c r="B27" s="5"/>
      <c r="L27">
        <f t="shared" si="0"/>
        <v>0</v>
      </c>
      <c r="M27">
        <f t="shared" si="1"/>
        <v>0</v>
      </c>
      <c r="N27">
        <f t="shared" si="2"/>
        <v>0</v>
      </c>
      <c r="O27">
        <f t="shared" ref="O27" si="27">N28</f>
        <v>0</v>
      </c>
    </row>
    <row r="28" spans="2:15" x14ac:dyDescent="0.2">
      <c r="L28">
        <f t="shared" si="0"/>
        <v>0</v>
      </c>
      <c r="M28">
        <f t="shared" si="1"/>
        <v>0</v>
      </c>
      <c r="N28">
        <f t="shared" si="2"/>
        <v>0</v>
      </c>
      <c r="O28">
        <f t="shared" ref="O28" si="28">N27</f>
        <v>0</v>
      </c>
    </row>
    <row r="29" spans="2:15" x14ac:dyDescent="0.2">
      <c r="B29" s="5"/>
      <c r="L29">
        <f t="shared" si="0"/>
        <v>0</v>
      </c>
      <c r="M29">
        <f t="shared" si="1"/>
        <v>0</v>
      </c>
      <c r="N29">
        <f t="shared" si="2"/>
        <v>0</v>
      </c>
      <c r="O29">
        <f t="shared" ref="O29" si="29">N30</f>
        <v>0</v>
      </c>
    </row>
    <row r="30" spans="2:15" x14ac:dyDescent="0.2">
      <c r="L30">
        <f t="shared" si="0"/>
        <v>0</v>
      </c>
      <c r="M30">
        <f t="shared" si="1"/>
        <v>0</v>
      </c>
      <c r="N30">
        <f t="shared" si="2"/>
        <v>0</v>
      </c>
      <c r="O30">
        <f t="shared" ref="O30" si="30">N29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te">
                <anchor moveWithCells="1" sizeWithCells="1">
                  <from>
                    <xdr:col>5</xdr:col>
                    <xdr:colOff>25400</xdr:colOff>
                    <xdr:row>1</xdr:row>
                    <xdr:rowOff>63500</xdr:rowOff>
                  </from>
                  <to>
                    <xdr:col>5</xdr:col>
                    <xdr:colOff>1676400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63500</xdr:colOff>
                    <xdr:row>6</xdr:row>
                    <xdr:rowOff>76200</xdr:rowOff>
                  </from>
                  <to>
                    <xdr:col>5</xdr:col>
                    <xdr:colOff>1651000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89D85-E3DA-C74D-A642-0C762D0DD0FA}">
  <sheetPr codeName="Sheet4"/>
  <dimension ref="A1:F123"/>
  <sheetViews>
    <sheetView tabSelected="1" workbookViewId="0">
      <selection activeCell="A2" sqref="A2:D9"/>
    </sheetView>
  </sheetViews>
  <sheetFormatPr baseColWidth="10" defaultRowHeight="16" x14ac:dyDescent="0.2"/>
  <cols>
    <col min="1" max="1" width="22" bestFit="1" customWidth="1"/>
    <col min="2" max="2" width="12.83203125" customWidth="1"/>
  </cols>
  <sheetData>
    <row r="1" spans="1:6" x14ac:dyDescent="0.2">
      <c r="A1" s="10" t="s">
        <v>46</v>
      </c>
      <c r="B1" s="10" t="s">
        <v>75</v>
      </c>
      <c r="C1" s="10" t="s">
        <v>76</v>
      </c>
      <c r="D1" s="10" t="s">
        <v>77</v>
      </c>
    </row>
    <row r="2" spans="1:6" x14ac:dyDescent="0.2">
      <c r="A2" s="4" t="s">
        <v>48</v>
      </c>
      <c r="B2">
        <v>7</v>
      </c>
      <c r="C2">
        <v>250</v>
      </c>
      <c r="D2" s="7">
        <v>221</v>
      </c>
      <c r="F2" s="4"/>
    </row>
    <row r="3" spans="1:6" x14ac:dyDescent="0.2">
      <c r="A3" s="5" t="s">
        <v>59</v>
      </c>
      <c r="B3">
        <v>-7</v>
      </c>
      <c r="C3">
        <v>-300</v>
      </c>
      <c r="D3" s="7">
        <v>221</v>
      </c>
      <c r="F3" s="5"/>
    </row>
    <row r="4" spans="1:6" x14ac:dyDescent="0.2">
      <c r="A4" t="s">
        <v>14</v>
      </c>
      <c r="B4">
        <v>4</v>
      </c>
      <c r="C4">
        <v>140</v>
      </c>
      <c r="D4" s="7">
        <v>226</v>
      </c>
    </row>
    <row r="5" spans="1:6" x14ac:dyDescent="0.2">
      <c r="A5" t="s">
        <v>9</v>
      </c>
      <c r="B5">
        <v>-4</v>
      </c>
      <c r="C5">
        <v>-165</v>
      </c>
      <c r="D5" s="7">
        <v>226</v>
      </c>
    </row>
    <row r="6" spans="1:6" x14ac:dyDescent="0.2">
      <c r="A6" t="s">
        <v>52</v>
      </c>
      <c r="B6">
        <v>11</v>
      </c>
      <c r="C6">
        <v>435</v>
      </c>
      <c r="D6" s="7">
        <v>230</v>
      </c>
    </row>
    <row r="7" spans="1:6" x14ac:dyDescent="0.2">
      <c r="A7" t="s">
        <v>0</v>
      </c>
      <c r="B7">
        <v>-11</v>
      </c>
      <c r="C7">
        <v>-635</v>
      </c>
      <c r="D7" s="7">
        <v>230</v>
      </c>
    </row>
    <row r="8" spans="1:6" x14ac:dyDescent="0.2">
      <c r="A8" t="s">
        <v>7</v>
      </c>
      <c r="B8">
        <v>10.5</v>
      </c>
      <c r="C8">
        <v>420</v>
      </c>
      <c r="D8" s="7">
        <v>223.5</v>
      </c>
    </row>
    <row r="9" spans="1:6" x14ac:dyDescent="0.2">
      <c r="A9" t="s">
        <v>63</v>
      </c>
      <c r="B9">
        <v>-10.5</v>
      </c>
      <c r="C9">
        <v>-605</v>
      </c>
      <c r="D9" s="7">
        <v>223.5</v>
      </c>
    </row>
    <row r="10" spans="1:6" x14ac:dyDescent="0.2">
      <c r="D10" s="7"/>
    </row>
    <row r="11" spans="1:6" x14ac:dyDescent="0.2">
      <c r="D11" s="7"/>
    </row>
    <row r="12" spans="1:6" x14ac:dyDescent="0.2">
      <c r="A12" s="4"/>
      <c r="D12" s="7"/>
    </row>
    <row r="13" spans="1:6" x14ac:dyDescent="0.2">
      <c r="A13" s="5"/>
      <c r="D13" s="7"/>
    </row>
    <row r="14" spans="1:6" x14ac:dyDescent="0.2">
      <c r="A14" s="4"/>
      <c r="D14" s="7"/>
      <c r="F14" s="4"/>
    </row>
    <row r="15" spans="1:6" x14ac:dyDescent="0.2">
      <c r="A15" s="5"/>
      <c r="D15" s="7"/>
      <c r="F15" s="5"/>
    </row>
    <row r="16" spans="1:6" x14ac:dyDescent="0.2">
      <c r="D16" s="7"/>
    </row>
    <row r="17" spans="1:6" x14ac:dyDescent="0.2">
      <c r="D17" s="7"/>
    </row>
    <row r="18" spans="1:6" x14ac:dyDescent="0.2">
      <c r="D18" s="7"/>
    </row>
    <row r="19" spans="1:6" x14ac:dyDescent="0.2">
      <c r="D19" s="7"/>
    </row>
    <row r="20" spans="1:6" x14ac:dyDescent="0.2">
      <c r="D20" s="7"/>
    </row>
    <row r="21" spans="1:6" x14ac:dyDescent="0.2">
      <c r="D21" s="7"/>
    </row>
    <row r="22" spans="1:6" x14ac:dyDescent="0.2">
      <c r="D22" s="7"/>
    </row>
    <row r="23" spans="1:6" x14ac:dyDescent="0.2">
      <c r="D23" s="7"/>
    </row>
    <row r="24" spans="1:6" x14ac:dyDescent="0.2">
      <c r="A24" s="4"/>
      <c r="D24" s="7"/>
    </row>
    <row r="25" spans="1:6" x14ac:dyDescent="0.2">
      <c r="A25" s="5"/>
      <c r="D25" s="7"/>
    </row>
    <row r="26" spans="1:6" x14ac:dyDescent="0.2">
      <c r="A26" s="4"/>
      <c r="D26" s="7"/>
      <c r="F26" s="4"/>
    </row>
    <row r="27" spans="1:6" x14ac:dyDescent="0.2">
      <c r="A27" s="5"/>
      <c r="D27" s="7"/>
      <c r="F27" s="5"/>
    </row>
    <row r="28" spans="1:6" x14ac:dyDescent="0.2">
      <c r="D28" s="7"/>
    </row>
    <row r="29" spans="1:6" x14ac:dyDescent="0.2">
      <c r="D29" s="7"/>
    </row>
    <row r="30" spans="1:6" x14ac:dyDescent="0.2">
      <c r="D30" s="7"/>
    </row>
    <row r="31" spans="1:6" x14ac:dyDescent="0.2">
      <c r="D31" s="7"/>
    </row>
    <row r="36" spans="1:6" x14ac:dyDescent="0.2">
      <c r="A36" s="4"/>
    </row>
    <row r="37" spans="1:6" x14ac:dyDescent="0.2">
      <c r="A37" s="5"/>
    </row>
    <row r="38" spans="1:6" x14ac:dyDescent="0.2">
      <c r="A38" s="4"/>
      <c r="F38" s="4"/>
    </row>
    <row r="39" spans="1:6" x14ac:dyDescent="0.2">
      <c r="A39" s="5"/>
      <c r="F39" s="5"/>
    </row>
    <row r="48" spans="1:6" x14ac:dyDescent="0.2">
      <c r="A48" s="4"/>
    </row>
    <row r="49" spans="1:6" x14ac:dyDescent="0.2">
      <c r="A49" s="5"/>
    </row>
    <row r="50" spans="1:6" x14ac:dyDescent="0.2">
      <c r="A50" s="4"/>
      <c r="F50" s="4"/>
    </row>
    <row r="51" spans="1:6" x14ac:dyDescent="0.2">
      <c r="A51" s="5"/>
      <c r="F51" s="5"/>
    </row>
    <row r="60" spans="1:6" x14ac:dyDescent="0.2">
      <c r="A60" s="4"/>
    </row>
    <row r="61" spans="1:6" x14ac:dyDescent="0.2">
      <c r="A61" s="5"/>
    </row>
    <row r="62" spans="1:6" x14ac:dyDescent="0.2">
      <c r="A62" s="4"/>
      <c r="F62" s="4"/>
    </row>
    <row r="63" spans="1:6" x14ac:dyDescent="0.2">
      <c r="A63" s="5"/>
      <c r="F63" s="5"/>
    </row>
    <row r="74" spans="1:6" x14ac:dyDescent="0.2">
      <c r="A74" s="4"/>
      <c r="F74" s="4"/>
    </row>
    <row r="75" spans="1:6" x14ac:dyDescent="0.2">
      <c r="A75" s="5"/>
      <c r="F75" s="5"/>
    </row>
    <row r="86" spans="1:6" x14ac:dyDescent="0.2">
      <c r="A86" s="4"/>
      <c r="F86" s="4"/>
    </row>
    <row r="87" spans="1:6" x14ac:dyDescent="0.2">
      <c r="A87" s="5"/>
      <c r="F87" s="5"/>
    </row>
    <row r="98" spans="1:6" x14ac:dyDescent="0.2">
      <c r="A98" s="4"/>
      <c r="F98" s="4"/>
    </row>
    <row r="99" spans="1:6" x14ac:dyDescent="0.2">
      <c r="A99" s="5"/>
      <c r="F99" s="5"/>
    </row>
    <row r="110" spans="1:6" x14ac:dyDescent="0.2">
      <c r="F110" s="4"/>
    </row>
    <row r="111" spans="1:6" x14ac:dyDescent="0.2">
      <c r="F111" s="5"/>
    </row>
    <row r="122" spans="6:6" x14ac:dyDescent="0.2">
      <c r="F122" s="4"/>
    </row>
    <row r="123" spans="6:6" x14ac:dyDescent="0.2">
      <c r="F12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1B39A-6D83-B04D-A10F-FB160B676CCA}">
  <sheetPr codeName="Sheet3"/>
  <dimension ref="A1:T30"/>
  <sheetViews>
    <sheetView workbookViewId="0">
      <selection activeCell="K1" sqref="K1:N8"/>
    </sheetView>
  </sheetViews>
  <sheetFormatPr baseColWidth="10" defaultRowHeight="16" x14ac:dyDescent="0.2"/>
  <cols>
    <col min="5" max="5" width="2.83203125" style="8" customWidth="1"/>
    <col min="10" max="10" width="2.83203125" style="8" customWidth="1"/>
    <col min="14" max="14" width="10.83203125" customWidth="1"/>
    <col min="15" max="15" width="2.83203125" customWidth="1"/>
    <col min="16" max="16" width="2.83203125" style="8" customWidth="1"/>
    <col min="17" max="17" width="20.33203125" bestFit="1" customWidth="1"/>
    <col min="18" max="18" width="18.83203125" bestFit="1" customWidth="1"/>
  </cols>
  <sheetData>
    <row r="1" spans="1:20" x14ac:dyDescent="0.2">
      <c r="A1" t="s">
        <v>48</v>
      </c>
      <c r="B1" s="5" t="s">
        <v>100</v>
      </c>
      <c r="C1">
        <v>250</v>
      </c>
      <c r="D1" s="7" t="s">
        <v>106</v>
      </c>
      <c r="F1" t="s">
        <v>48</v>
      </c>
      <c r="G1" s="5" t="s">
        <v>100</v>
      </c>
      <c r="H1">
        <v>250</v>
      </c>
      <c r="I1" s="7" t="s">
        <v>106</v>
      </c>
      <c r="K1" s="5" t="str">
        <f>A1</f>
        <v>Atlanta Hawks</v>
      </c>
      <c r="L1">
        <f>_xlfn.NUMBERVALUE(LEFT(B1,LEN(B1)-6))</f>
        <v>7</v>
      </c>
      <c r="M1">
        <f>C1</f>
        <v>250</v>
      </c>
      <c r="N1" s="7" t="str">
        <f>LEFT(D1,5)</f>
        <v>221.0</v>
      </c>
      <c r="Q1" t="s">
        <v>72</v>
      </c>
    </row>
    <row r="2" spans="1:20" x14ac:dyDescent="0.2">
      <c r="A2" t="s">
        <v>59</v>
      </c>
      <c r="B2" t="s">
        <v>101</v>
      </c>
      <c r="C2">
        <v>-300</v>
      </c>
      <c r="D2" s="7" t="s">
        <v>106</v>
      </c>
      <c r="F2" t="s">
        <v>59</v>
      </c>
      <c r="G2" t="s">
        <v>101</v>
      </c>
      <c r="H2">
        <v>-300</v>
      </c>
      <c r="I2" s="7" t="s">
        <v>106</v>
      </c>
      <c r="K2" s="5" t="str">
        <f t="shared" ref="K2:K30" si="0">A2</f>
        <v>Miami Heat</v>
      </c>
      <c r="L2">
        <f t="shared" ref="L2:L30" si="1">_xlfn.NUMBERVALUE(LEFT(B2,LEN(B2)-6))</f>
        <v>-7</v>
      </c>
      <c r="M2">
        <f t="shared" ref="M2:M30" si="2">C2</f>
        <v>-300</v>
      </c>
      <c r="N2" s="7" t="str">
        <f t="shared" ref="N2:N30" si="3">LEFT(D2,5)</f>
        <v>221.0</v>
      </c>
      <c r="O2" s="8"/>
      <c r="Q2" t="s">
        <v>73</v>
      </c>
    </row>
    <row r="3" spans="1:20" x14ac:dyDescent="0.2">
      <c r="A3" t="s">
        <v>14</v>
      </c>
      <c r="B3" s="5" t="s">
        <v>90</v>
      </c>
      <c r="C3">
        <v>140</v>
      </c>
      <c r="D3" s="7" t="s">
        <v>107</v>
      </c>
      <c r="F3" t="s">
        <v>14</v>
      </c>
      <c r="G3" s="5" t="s">
        <v>90</v>
      </c>
      <c r="H3">
        <v>140</v>
      </c>
      <c r="I3" s="7" t="s">
        <v>107</v>
      </c>
      <c r="K3" s="5" t="str">
        <f t="shared" si="0"/>
        <v>Brooklyn Nets</v>
      </c>
      <c r="L3">
        <f t="shared" si="1"/>
        <v>4</v>
      </c>
      <c r="M3">
        <f t="shared" si="2"/>
        <v>140</v>
      </c>
      <c r="N3" s="7" t="str">
        <f t="shared" si="3"/>
        <v>226.0</v>
      </c>
      <c r="O3" s="8"/>
    </row>
    <row r="4" spans="1:20" x14ac:dyDescent="0.2">
      <c r="A4" t="s">
        <v>9</v>
      </c>
      <c r="B4" t="s">
        <v>89</v>
      </c>
      <c r="C4">
        <v>-165</v>
      </c>
      <c r="D4" s="7" t="s">
        <v>108</v>
      </c>
      <c r="F4" t="s">
        <v>9</v>
      </c>
      <c r="G4" t="s">
        <v>89</v>
      </c>
      <c r="H4">
        <v>-165</v>
      </c>
      <c r="I4" s="7" t="s">
        <v>108</v>
      </c>
      <c r="K4" s="5" t="str">
        <f t="shared" si="0"/>
        <v>Boston Celtics</v>
      </c>
      <c r="L4">
        <f t="shared" si="1"/>
        <v>-4</v>
      </c>
      <c r="M4">
        <f t="shared" si="2"/>
        <v>-165</v>
      </c>
      <c r="N4" s="7" t="str">
        <f t="shared" si="3"/>
        <v>226.0</v>
      </c>
      <c r="O4" s="8"/>
      <c r="Q4" t="s">
        <v>98</v>
      </c>
      <c r="T4" s="7"/>
    </row>
    <row r="5" spans="1:20" x14ac:dyDescent="0.2">
      <c r="A5" t="s">
        <v>52</v>
      </c>
      <c r="B5" s="5" t="s">
        <v>102</v>
      </c>
      <c r="C5">
        <v>435</v>
      </c>
      <c r="D5" s="7" t="s">
        <v>109</v>
      </c>
      <c r="F5" t="s">
        <v>52</v>
      </c>
      <c r="G5" s="5" t="s">
        <v>102</v>
      </c>
      <c r="H5">
        <v>435</v>
      </c>
      <c r="I5" s="7" t="s">
        <v>109</v>
      </c>
      <c r="K5" s="5" t="str">
        <f t="shared" si="0"/>
        <v>Chicago Bulls</v>
      </c>
      <c r="L5">
        <f t="shared" si="1"/>
        <v>11</v>
      </c>
      <c r="M5">
        <f t="shared" si="2"/>
        <v>435</v>
      </c>
      <c r="N5" s="7" t="str">
        <f t="shared" si="3"/>
        <v>230.0</v>
      </c>
      <c r="O5" s="8"/>
    </row>
    <row r="6" spans="1:20" x14ac:dyDescent="0.2">
      <c r="A6" t="s">
        <v>0</v>
      </c>
      <c r="B6" t="s">
        <v>103</v>
      </c>
      <c r="C6">
        <v>-635</v>
      </c>
      <c r="D6" s="7" t="s">
        <v>109</v>
      </c>
      <c r="F6" t="s">
        <v>0</v>
      </c>
      <c r="G6" t="s">
        <v>103</v>
      </c>
      <c r="H6">
        <v>-635</v>
      </c>
      <c r="I6" s="7" t="s">
        <v>109</v>
      </c>
      <c r="K6" s="5" t="str">
        <f t="shared" si="0"/>
        <v>Milwaukee Bucks</v>
      </c>
      <c r="L6">
        <f t="shared" si="1"/>
        <v>-11</v>
      </c>
      <c r="M6">
        <f t="shared" si="2"/>
        <v>-635</v>
      </c>
      <c r="N6" s="7" t="str">
        <f t="shared" si="3"/>
        <v>230.0</v>
      </c>
      <c r="O6" s="8"/>
    </row>
    <row r="7" spans="1:20" x14ac:dyDescent="0.2">
      <c r="A7" t="s">
        <v>7</v>
      </c>
      <c r="B7" s="5" t="s">
        <v>104</v>
      </c>
      <c r="C7">
        <v>420</v>
      </c>
      <c r="D7" s="7" t="s">
        <v>110</v>
      </c>
      <c r="F7" t="s">
        <v>7</v>
      </c>
      <c r="G7" s="5" t="s">
        <v>104</v>
      </c>
      <c r="H7">
        <v>420</v>
      </c>
      <c r="I7" s="7" t="s">
        <v>110</v>
      </c>
      <c r="K7" s="5" t="str">
        <f t="shared" si="0"/>
        <v>New Orleans Pelicans</v>
      </c>
      <c r="L7">
        <f t="shared" si="1"/>
        <v>10.5</v>
      </c>
      <c r="M7">
        <f t="shared" si="2"/>
        <v>420</v>
      </c>
      <c r="N7" s="7" t="str">
        <f t="shared" si="3"/>
        <v>223.5</v>
      </c>
      <c r="O7" s="8"/>
    </row>
    <row r="8" spans="1:20" x14ac:dyDescent="0.2">
      <c r="A8" t="s">
        <v>63</v>
      </c>
      <c r="B8" t="s">
        <v>105</v>
      </c>
      <c r="C8">
        <v>-605</v>
      </c>
      <c r="D8" s="7" t="s">
        <v>110</v>
      </c>
      <c r="F8" t="s">
        <v>63</v>
      </c>
      <c r="G8" t="s">
        <v>105</v>
      </c>
      <c r="H8">
        <v>-605</v>
      </c>
      <c r="I8" s="7" t="s">
        <v>110</v>
      </c>
      <c r="K8" s="5" t="str">
        <f t="shared" si="0"/>
        <v>Phoenix Suns</v>
      </c>
      <c r="L8">
        <f t="shared" si="1"/>
        <v>-10.5</v>
      </c>
      <c r="M8">
        <f t="shared" si="2"/>
        <v>-605</v>
      </c>
      <c r="N8" s="7" t="str">
        <f t="shared" si="3"/>
        <v>223.5</v>
      </c>
      <c r="O8" s="8"/>
    </row>
    <row r="9" spans="1:20" x14ac:dyDescent="0.2">
      <c r="B9" s="5">
        <v>0</v>
      </c>
      <c r="C9">
        <v>0</v>
      </c>
      <c r="D9" s="7" t="s">
        <v>99</v>
      </c>
      <c r="G9" s="5"/>
      <c r="I9" s="7"/>
      <c r="K9" s="5">
        <f t="shared" si="0"/>
        <v>0</v>
      </c>
      <c r="L9" t="e">
        <f t="shared" si="1"/>
        <v>#VALUE!</v>
      </c>
      <c r="M9">
        <f t="shared" si="2"/>
        <v>0</v>
      </c>
      <c r="N9" s="7" t="str">
        <f t="shared" si="3"/>
        <v/>
      </c>
      <c r="O9" s="8"/>
    </row>
    <row r="10" spans="1:20" x14ac:dyDescent="0.2">
      <c r="B10">
        <v>0</v>
      </c>
      <c r="C10">
        <v>0</v>
      </c>
      <c r="D10" s="7" t="s">
        <v>99</v>
      </c>
      <c r="I10" s="7"/>
      <c r="K10" s="5">
        <f t="shared" si="0"/>
        <v>0</v>
      </c>
      <c r="L10" t="e">
        <f t="shared" si="1"/>
        <v>#VALUE!</v>
      </c>
      <c r="M10">
        <f t="shared" si="2"/>
        <v>0</v>
      </c>
      <c r="N10" s="7" t="str">
        <f t="shared" si="3"/>
        <v/>
      </c>
      <c r="O10" s="8"/>
    </row>
    <row r="11" spans="1:20" x14ac:dyDescent="0.2">
      <c r="B11" s="5">
        <v>0</v>
      </c>
      <c r="C11">
        <v>0</v>
      </c>
      <c r="D11" s="7" t="s">
        <v>99</v>
      </c>
      <c r="G11" s="5"/>
      <c r="I11" s="7"/>
      <c r="K11" s="5">
        <f t="shared" si="0"/>
        <v>0</v>
      </c>
      <c r="L11" t="e">
        <f t="shared" si="1"/>
        <v>#VALUE!</v>
      </c>
      <c r="M11">
        <f t="shared" si="2"/>
        <v>0</v>
      </c>
      <c r="N11" s="7" t="str">
        <f t="shared" si="3"/>
        <v/>
      </c>
      <c r="O11" s="8"/>
    </row>
    <row r="12" spans="1:20" x14ac:dyDescent="0.2">
      <c r="B12">
        <v>0</v>
      </c>
      <c r="C12">
        <v>0</v>
      </c>
      <c r="D12" s="7" t="s">
        <v>99</v>
      </c>
      <c r="I12" s="7"/>
      <c r="K12" s="5">
        <f t="shared" si="0"/>
        <v>0</v>
      </c>
      <c r="L12" t="e">
        <f t="shared" si="1"/>
        <v>#VALUE!</v>
      </c>
      <c r="M12">
        <f t="shared" si="2"/>
        <v>0</v>
      </c>
      <c r="N12" s="7" t="str">
        <f t="shared" si="3"/>
        <v/>
      </c>
      <c r="O12" s="8"/>
    </row>
    <row r="13" spans="1:20" x14ac:dyDescent="0.2">
      <c r="B13" s="5">
        <v>0</v>
      </c>
      <c r="C13">
        <v>0</v>
      </c>
      <c r="D13" s="7" t="s">
        <v>99</v>
      </c>
      <c r="G13" s="5"/>
      <c r="I13" s="7"/>
      <c r="K13" s="5">
        <f t="shared" si="0"/>
        <v>0</v>
      </c>
      <c r="L13" t="e">
        <f t="shared" si="1"/>
        <v>#VALUE!</v>
      </c>
      <c r="M13">
        <f t="shared" si="2"/>
        <v>0</v>
      </c>
      <c r="N13" s="7" t="str">
        <f t="shared" si="3"/>
        <v/>
      </c>
      <c r="O13" s="8"/>
    </row>
    <row r="14" spans="1:20" x14ac:dyDescent="0.2">
      <c r="B14">
        <v>0</v>
      </c>
      <c r="C14">
        <v>0</v>
      </c>
      <c r="D14" s="7" t="s">
        <v>99</v>
      </c>
      <c r="I14" s="7"/>
      <c r="K14" s="5">
        <f t="shared" si="0"/>
        <v>0</v>
      </c>
      <c r="L14" t="e">
        <f t="shared" si="1"/>
        <v>#VALUE!</v>
      </c>
      <c r="M14">
        <f t="shared" si="2"/>
        <v>0</v>
      </c>
      <c r="N14" s="7" t="str">
        <f t="shared" si="3"/>
        <v/>
      </c>
      <c r="O14" s="8"/>
    </row>
    <row r="15" spans="1:20" x14ac:dyDescent="0.2">
      <c r="B15" s="5">
        <v>0</v>
      </c>
      <c r="C15">
        <v>0</v>
      </c>
      <c r="D15" s="7" t="s">
        <v>99</v>
      </c>
      <c r="G15" s="5"/>
      <c r="I15" s="7"/>
      <c r="K15" s="5">
        <f t="shared" si="0"/>
        <v>0</v>
      </c>
      <c r="L15" t="e">
        <f t="shared" si="1"/>
        <v>#VALUE!</v>
      </c>
      <c r="M15">
        <f t="shared" si="2"/>
        <v>0</v>
      </c>
      <c r="N15" s="7" t="str">
        <f t="shared" si="3"/>
        <v/>
      </c>
      <c r="O15" s="8"/>
    </row>
    <row r="16" spans="1:20" x14ac:dyDescent="0.2">
      <c r="B16">
        <v>0</v>
      </c>
      <c r="C16">
        <v>0</v>
      </c>
      <c r="D16" s="7" t="s">
        <v>99</v>
      </c>
      <c r="I16" s="7"/>
      <c r="K16" s="5">
        <f t="shared" si="0"/>
        <v>0</v>
      </c>
      <c r="L16" t="e">
        <f t="shared" si="1"/>
        <v>#VALUE!</v>
      </c>
      <c r="M16">
        <f t="shared" si="2"/>
        <v>0</v>
      </c>
      <c r="N16" s="7" t="str">
        <f t="shared" si="3"/>
        <v/>
      </c>
      <c r="O16" s="8"/>
    </row>
    <row r="17" spans="2:15" x14ac:dyDescent="0.2">
      <c r="B17" s="5">
        <v>0</v>
      </c>
      <c r="C17">
        <v>0</v>
      </c>
      <c r="D17" s="7" t="s">
        <v>99</v>
      </c>
      <c r="G17" s="5"/>
      <c r="I17" s="7"/>
      <c r="K17" s="5">
        <f t="shared" si="0"/>
        <v>0</v>
      </c>
      <c r="L17" t="e">
        <f t="shared" si="1"/>
        <v>#VALUE!</v>
      </c>
      <c r="M17">
        <f t="shared" si="2"/>
        <v>0</v>
      </c>
      <c r="N17" s="7" t="str">
        <f t="shared" si="3"/>
        <v/>
      </c>
      <c r="O17" s="8"/>
    </row>
    <row r="18" spans="2:15" x14ac:dyDescent="0.2">
      <c r="B18">
        <v>0</v>
      </c>
      <c r="C18">
        <v>0</v>
      </c>
      <c r="D18" s="7" t="s">
        <v>99</v>
      </c>
      <c r="I18" s="7"/>
      <c r="K18" s="5">
        <f t="shared" si="0"/>
        <v>0</v>
      </c>
      <c r="L18" t="e">
        <f t="shared" si="1"/>
        <v>#VALUE!</v>
      </c>
      <c r="M18">
        <f t="shared" si="2"/>
        <v>0</v>
      </c>
      <c r="N18" s="7" t="str">
        <f t="shared" si="3"/>
        <v/>
      </c>
      <c r="O18" s="8"/>
    </row>
    <row r="19" spans="2:15" x14ac:dyDescent="0.2">
      <c r="B19" s="5">
        <v>0</v>
      </c>
      <c r="C19">
        <v>0</v>
      </c>
      <c r="D19" s="7" t="s">
        <v>99</v>
      </c>
      <c r="G19" s="5"/>
      <c r="I19" s="7"/>
      <c r="K19" s="5">
        <f t="shared" si="0"/>
        <v>0</v>
      </c>
      <c r="L19" t="e">
        <f t="shared" si="1"/>
        <v>#VALUE!</v>
      </c>
      <c r="M19">
        <f t="shared" si="2"/>
        <v>0</v>
      </c>
      <c r="N19" s="7" t="str">
        <f t="shared" si="3"/>
        <v/>
      </c>
      <c r="O19" s="8"/>
    </row>
    <row r="20" spans="2:15" x14ac:dyDescent="0.2">
      <c r="B20">
        <v>0</v>
      </c>
      <c r="C20">
        <v>0</v>
      </c>
      <c r="D20" s="7" t="s">
        <v>99</v>
      </c>
      <c r="I20" s="7"/>
      <c r="K20" s="5">
        <f t="shared" si="0"/>
        <v>0</v>
      </c>
      <c r="L20" t="e">
        <f t="shared" si="1"/>
        <v>#VALUE!</v>
      </c>
      <c r="M20">
        <f t="shared" si="2"/>
        <v>0</v>
      </c>
      <c r="N20" s="7" t="str">
        <f t="shared" si="3"/>
        <v/>
      </c>
      <c r="O20" s="8"/>
    </row>
    <row r="21" spans="2:15" x14ac:dyDescent="0.2">
      <c r="B21" s="5">
        <v>0</v>
      </c>
      <c r="C21">
        <v>0</v>
      </c>
      <c r="D21" s="7" t="s">
        <v>99</v>
      </c>
      <c r="G21" s="5"/>
      <c r="I21" s="7"/>
      <c r="K21" s="5">
        <f t="shared" si="0"/>
        <v>0</v>
      </c>
      <c r="L21" t="e">
        <f t="shared" si="1"/>
        <v>#VALUE!</v>
      </c>
      <c r="M21">
        <f t="shared" si="2"/>
        <v>0</v>
      </c>
      <c r="N21" s="7" t="str">
        <f t="shared" si="3"/>
        <v/>
      </c>
      <c r="O21" s="8"/>
    </row>
    <row r="22" spans="2:15" x14ac:dyDescent="0.2">
      <c r="B22">
        <v>0</v>
      </c>
      <c r="C22">
        <v>0</v>
      </c>
      <c r="D22" s="7" t="s">
        <v>99</v>
      </c>
      <c r="I22" s="7"/>
      <c r="K22" s="5">
        <f t="shared" si="0"/>
        <v>0</v>
      </c>
      <c r="L22" t="e">
        <f t="shared" si="1"/>
        <v>#VALUE!</v>
      </c>
      <c r="M22">
        <f t="shared" si="2"/>
        <v>0</v>
      </c>
      <c r="N22" s="7" t="str">
        <f t="shared" si="3"/>
        <v/>
      </c>
      <c r="O22" s="8"/>
    </row>
    <row r="23" spans="2:15" x14ac:dyDescent="0.2">
      <c r="B23" s="5">
        <v>0</v>
      </c>
      <c r="C23">
        <v>0</v>
      </c>
      <c r="D23" s="7" t="s">
        <v>99</v>
      </c>
      <c r="G23" s="5"/>
      <c r="I23" s="7"/>
      <c r="K23" s="5">
        <f t="shared" si="0"/>
        <v>0</v>
      </c>
      <c r="L23" t="e">
        <f t="shared" si="1"/>
        <v>#VALUE!</v>
      </c>
      <c r="M23">
        <f t="shared" si="2"/>
        <v>0</v>
      </c>
      <c r="N23" s="7" t="str">
        <f t="shared" si="3"/>
        <v/>
      </c>
      <c r="O23" s="8"/>
    </row>
    <row r="24" spans="2:15" x14ac:dyDescent="0.2">
      <c r="B24">
        <v>0</v>
      </c>
      <c r="C24">
        <v>0</v>
      </c>
      <c r="D24" s="7" t="s">
        <v>99</v>
      </c>
      <c r="I24" s="7"/>
      <c r="K24" s="5">
        <f t="shared" si="0"/>
        <v>0</v>
      </c>
      <c r="L24" t="e">
        <f t="shared" si="1"/>
        <v>#VALUE!</v>
      </c>
      <c r="M24">
        <f t="shared" si="2"/>
        <v>0</v>
      </c>
      <c r="N24" s="7" t="str">
        <f t="shared" si="3"/>
        <v/>
      </c>
      <c r="O24" s="8"/>
    </row>
    <row r="25" spans="2:15" x14ac:dyDescent="0.2">
      <c r="B25" s="5">
        <v>0</v>
      </c>
      <c r="C25">
        <v>0</v>
      </c>
      <c r="D25" s="7" t="s">
        <v>99</v>
      </c>
      <c r="G25" s="5"/>
      <c r="I25" s="7"/>
      <c r="K25" s="5">
        <f t="shared" si="0"/>
        <v>0</v>
      </c>
      <c r="L25" t="e">
        <f t="shared" si="1"/>
        <v>#VALUE!</v>
      </c>
      <c r="M25">
        <f t="shared" si="2"/>
        <v>0</v>
      </c>
      <c r="N25" s="7" t="str">
        <f t="shared" si="3"/>
        <v/>
      </c>
      <c r="O25" s="8"/>
    </row>
    <row r="26" spans="2:15" x14ac:dyDescent="0.2">
      <c r="B26">
        <v>0</v>
      </c>
      <c r="C26">
        <v>0</v>
      </c>
      <c r="D26" s="7" t="s">
        <v>99</v>
      </c>
      <c r="I26" s="7"/>
      <c r="K26" s="5">
        <f t="shared" si="0"/>
        <v>0</v>
      </c>
      <c r="L26" t="e">
        <f t="shared" si="1"/>
        <v>#VALUE!</v>
      </c>
      <c r="M26">
        <f t="shared" si="2"/>
        <v>0</v>
      </c>
      <c r="N26" s="7" t="str">
        <f t="shared" si="3"/>
        <v/>
      </c>
      <c r="O26" s="8"/>
    </row>
    <row r="27" spans="2:15" x14ac:dyDescent="0.2">
      <c r="B27" s="5">
        <v>0</v>
      </c>
      <c r="C27">
        <v>0</v>
      </c>
      <c r="D27" s="7" t="s">
        <v>99</v>
      </c>
      <c r="G27" s="5"/>
      <c r="I27" s="7"/>
      <c r="K27" s="5">
        <f t="shared" si="0"/>
        <v>0</v>
      </c>
      <c r="L27" t="e">
        <f t="shared" si="1"/>
        <v>#VALUE!</v>
      </c>
      <c r="M27">
        <f t="shared" si="2"/>
        <v>0</v>
      </c>
      <c r="N27" s="7" t="str">
        <f t="shared" si="3"/>
        <v/>
      </c>
      <c r="O27" s="8"/>
    </row>
    <row r="28" spans="2:15" x14ac:dyDescent="0.2">
      <c r="B28">
        <v>0</v>
      </c>
      <c r="C28">
        <v>0</v>
      </c>
      <c r="D28" s="7" t="s">
        <v>99</v>
      </c>
      <c r="I28" s="7"/>
      <c r="K28" s="5">
        <f t="shared" si="0"/>
        <v>0</v>
      </c>
      <c r="L28" t="e">
        <f t="shared" si="1"/>
        <v>#VALUE!</v>
      </c>
      <c r="M28">
        <f t="shared" si="2"/>
        <v>0</v>
      </c>
      <c r="N28" s="7" t="str">
        <f t="shared" si="3"/>
        <v/>
      </c>
      <c r="O28" s="8"/>
    </row>
    <row r="29" spans="2:15" x14ac:dyDescent="0.2">
      <c r="B29" s="5">
        <v>0</v>
      </c>
      <c r="C29">
        <v>0</v>
      </c>
      <c r="D29" s="7" t="s">
        <v>99</v>
      </c>
      <c r="G29" s="5"/>
      <c r="I29" s="7"/>
      <c r="K29" s="5">
        <f t="shared" si="0"/>
        <v>0</v>
      </c>
      <c r="L29" t="e">
        <f t="shared" si="1"/>
        <v>#VALUE!</v>
      </c>
      <c r="M29">
        <f t="shared" si="2"/>
        <v>0</v>
      </c>
      <c r="N29" s="7" t="str">
        <f t="shared" si="3"/>
        <v/>
      </c>
      <c r="O29" s="8"/>
    </row>
    <row r="30" spans="2:15" x14ac:dyDescent="0.2">
      <c r="B30">
        <v>0</v>
      </c>
      <c r="C30">
        <v>0</v>
      </c>
      <c r="D30" s="7" t="s">
        <v>99</v>
      </c>
      <c r="I30" s="7"/>
      <c r="K30" s="5">
        <f t="shared" si="0"/>
        <v>0</v>
      </c>
      <c r="L30" t="e">
        <f t="shared" si="1"/>
        <v>#VALUE!</v>
      </c>
      <c r="M30">
        <f t="shared" si="2"/>
        <v>0</v>
      </c>
      <c r="N30" s="7" t="str">
        <f t="shared" si="3"/>
        <v/>
      </c>
      <c r="O30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_Slate">
                <anchor moveWithCells="1" sizeWithCells="1">
                  <from>
                    <xdr:col>16</xdr:col>
                    <xdr:colOff>736600</xdr:colOff>
                    <xdr:row>17</xdr:row>
                    <xdr:rowOff>0</xdr:rowOff>
                  </from>
                  <to>
                    <xdr:col>17</xdr:col>
                    <xdr:colOff>774700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w_Clear">
                <anchor moveWithCells="1" sizeWithCells="1">
                  <from>
                    <xdr:col>16</xdr:col>
                    <xdr:colOff>762000</xdr:colOff>
                    <xdr:row>22</xdr:row>
                    <xdr:rowOff>0</xdr:rowOff>
                  </from>
                  <to>
                    <xdr:col>17</xdr:col>
                    <xdr:colOff>787400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47A8D-CD8D-4040-83CD-DB56B3C2FF8B}">
  <sheetPr codeName="Sheet5"/>
  <dimension ref="A1:A182"/>
  <sheetViews>
    <sheetView workbookViewId="0">
      <selection sqref="A1:A1048576"/>
    </sheetView>
  </sheetViews>
  <sheetFormatPr baseColWidth="10" defaultRowHeight="16" x14ac:dyDescent="0.2"/>
  <sheetData>
    <row r="1" spans="1:1" x14ac:dyDescent="0.2">
      <c r="A1" s="4">
        <v>44542</v>
      </c>
    </row>
    <row r="2" spans="1:1" x14ac:dyDescent="0.2">
      <c r="A2" s="5">
        <v>0.45833333333333331</v>
      </c>
    </row>
    <row r="3" spans="1:1" x14ac:dyDescent="0.2">
      <c r="A3" t="s">
        <v>0</v>
      </c>
    </row>
    <row r="4" spans="1:1" x14ac:dyDescent="0.2">
      <c r="A4" t="s">
        <v>61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>
        <v>-250</v>
      </c>
    </row>
    <row r="9" spans="1:1" x14ac:dyDescent="0.2">
      <c r="A9">
        <v>210</v>
      </c>
    </row>
    <row r="10" spans="1:1" x14ac:dyDescent="0.2">
      <c r="A10" t="s">
        <v>81</v>
      </c>
    </row>
    <row r="11" spans="1:1" x14ac:dyDescent="0.2">
      <c r="A11" t="s">
        <v>82</v>
      </c>
    </row>
    <row r="13" spans="1:1" x14ac:dyDescent="0.2">
      <c r="A13" s="4">
        <v>44542</v>
      </c>
    </row>
    <row r="14" spans="1:1" x14ac:dyDescent="0.2">
      <c r="A14" s="5">
        <v>0.70833333333333337</v>
      </c>
    </row>
    <row r="15" spans="1:1" x14ac:dyDescent="0.2">
      <c r="A15" t="s">
        <v>14</v>
      </c>
    </row>
    <row r="16" spans="1:1" x14ac:dyDescent="0.2">
      <c r="A16" t="s">
        <v>55</v>
      </c>
    </row>
    <row r="17" spans="1:1" x14ac:dyDescent="0.2">
      <c r="A17" t="s">
        <v>83</v>
      </c>
    </row>
    <row r="18" spans="1:1" x14ac:dyDescent="0.2">
      <c r="A18" t="s">
        <v>84</v>
      </c>
    </row>
    <row r="19" spans="1:1" x14ac:dyDescent="0.2">
      <c r="A19" t="s">
        <v>85</v>
      </c>
    </row>
    <row r="20" spans="1:1" x14ac:dyDescent="0.2">
      <c r="A20">
        <v>-320</v>
      </c>
    </row>
    <row r="21" spans="1:1" x14ac:dyDescent="0.2">
      <c r="A21">
        <v>260</v>
      </c>
    </row>
    <row r="22" spans="1:1" x14ac:dyDescent="0.2">
      <c r="A22" t="s">
        <v>86</v>
      </c>
    </row>
    <row r="23" spans="1:1" x14ac:dyDescent="0.2">
      <c r="A23" t="s">
        <v>87</v>
      </c>
    </row>
    <row r="25" spans="1:1" x14ac:dyDescent="0.2">
      <c r="A25" s="4">
        <v>44542</v>
      </c>
    </row>
    <row r="26" spans="1:1" x14ac:dyDescent="0.2">
      <c r="A26" s="5">
        <v>0.75</v>
      </c>
    </row>
    <row r="27" spans="1:1" x14ac:dyDescent="0.2">
      <c r="A27" t="s">
        <v>1</v>
      </c>
    </row>
    <row r="28" spans="1:1" x14ac:dyDescent="0.2">
      <c r="A28" t="s">
        <v>3</v>
      </c>
    </row>
    <row r="29" spans="1:1" x14ac:dyDescent="0.2">
      <c r="A29" t="s">
        <v>88</v>
      </c>
    </row>
    <row r="30" spans="1:1" x14ac:dyDescent="0.2">
      <c r="A30" t="s">
        <v>89</v>
      </c>
    </row>
    <row r="31" spans="1:1" x14ac:dyDescent="0.2">
      <c r="A31" t="s">
        <v>90</v>
      </c>
    </row>
    <row r="32" spans="1:1" x14ac:dyDescent="0.2">
      <c r="A32">
        <v>-180</v>
      </c>
    </row>
    <row r="33" spans="1:1" x14ac:dyDescent="0.2">
      <c r="A33">
        <v>155</v>
      </c>
    </row>
    <row r="34" spans="1:1" x14ac:dyDescent="0.2">
      <c r="A34" t="s">
        <v>91</v>
      </c>
    </row>
    <row r="35" spans="1:1" x14ac:dyDescent="0.2">
      <c r="A35" t="s">
        <v>92</v>
      </c>
    </row>
    <row r="37" spans="1:1" x14ac:dyDescent="0.2">
      <c r="A37" s="4">
        <v>44542</v>
      </c>
    </row>
    <row r="38" spans="1:1" x14ac:dyDescent="0.2">
      <c r="A38" s="5">
        <v>0.75</v>
      </c>
    </row>
    <row r="39" spans="1:1" x14ac:dyDescent="0.2">
      <c r="A39" t="s">
        <v>7</v>
      </c>
    </row>
    <row r="40" spans="1:1" x14ac:dyDescent="0.2">
      <c r="A40" t="s">
        <v>6</v>
      </c>
    </row>
    <row r="41" spans="1:1" x14ac:dyDescent="0.2">
      <c r="A41" t="s">
        <v>93</v>
      </c>
    </row>
    <row r="42" spans="1:1" x14ac:dyDescent="0.2">
      <c r="A42" t="s">
        <v>94</v>
      </c>
    </row>
    <row r="43" spans="1:1" x14ac:dyDescent="0.2">
      <c r="A43" t="s">
        <v>95</v>
      </c>
    </row>
    <row r="44" spans="1:1" x14ac:dyDescent="0.2">
      <c r="A44">
        <v>120</v>
      </c>
    </row>
    <row r="45" spans="1:1" x14ac:dyDescent="0.2">
      <c r="A45">
        <v>-140</v>
      </c>
    </row>
    <row r="46" spans="1:1" x14ac:dyDescent="0.2">
      <c r="A46" t="s">
        <v>96</v>
      </c>
    </row>
    <row r="47" spans="1:1" x14ac:dyDescent="0.2">
      <c r="A47" t="s">
        <v>97</v>
      </c>
    </row>
    <row r="49" spans="1:1" x14ac:dyDescent="0.2">
      <c r="A49" s="4">
        <v>44542</v>
      </c>
    </row>
    <row r="50" spans="1:1" x14ac:dyDescent="0.2">
      <c r="A50" s="5">
        <v>0.45833333333333331</v>
      </c>
    </row>
    <row r="51" spans="1:1" x14ac:dyDescent="0.2">
      <c r="A51" t="s">
        <v>0</v>
      </c>
    </row>
    <row r="52" spans="1:1" x14ac:dyDescent="0.2">
      <c r="A52" t="s">
        <v>61</v>
      </c>
    </row>
    <row r="53" spans="1:1" x14ac:dyDescent="0.2">
      <c r="A53" t="s">
        <v>78</v>
      </c>
    </row>
    <row r="54" spans="1:1" x14ac:dyDescent="0.2">
      <c r="A54" t="s">
        <v>79</v>
      </c>
    </row>
    <row r="55" spans="1:1" x14ac:dyDescent="0.2">
      <c r="A55" t="s">
        <v>80</v>
      </c>
    </row>
    <row r="56" spans="1:1" x14ac:dyDescent="0.2">
      <c r="A56">
        <v>-250</v>
      </c>
    </row>
    <row r="57" spans="1:1" x14ac:dyDescent="0.2">
      <c r="A57">
        <v>210</v>
      </c>
    </row>
    <row r="58" spans="1:1" x14ac:dyDescent="0.2">
      <c r="A58" t="s">
        <v>81</v>
      </c>
    </row>
    <row r="59" spans="1:1" x14ac:dyDescent="0.2">
      <c r="A59" t="s">
        <v>82</v>
      </c>
    </row>
    <row r="61" spans="1:1" x14ac:dyDescent="0.2">
      <c r="A61" s="4">
        <v>44542</v>
      </c>
    </row>
    <row r="62" spans="1:1" x14ac:dyDescent="0.2">
      <c r="A62" s="5">
        <v>0.70833333333333337</v>
      </c>
    </row>
    <row r="63" spans="1:1" x14ac:dyDescent="0.2">
      <c r="A63" t="s">
        <v>14</v>
      </c>
    </row>
    <row r="64" spans="1:1" x14ac:dyDescent="0.2">
      <c r="A64" t="s">
        <v>55</v>
      </c>
    </row>
    <row r="65" spans="1:1" x14ac:dyDescent="0.2">
      <c r="A65" t="s">
        <v>83</v>
      </c>
    </row>
    <row r="66" spans="1:1" x14ac:dyDescent="0.2">
      <c r="A66" t="s">
        <v>84</v>
      </c>
    </row>
    <row r="67" spans="1:1" x14ac:dyDescent="0.2">
      <c r="A67" t="s">
        <v>85</v>
      </c>
    </row>
    <row r="68" spans="1:1" x14ac:dyDescent="0.2">
      <c r="A68">
        <v>-320</v>
      </c>
    </row>
    <row r="69" spans="1:1" x14ac:dyDescent="0.2">
      <c r="A69">
        <v>260</v>
      </c>
    </row>
    <row r="70" spans="1:1" x14ac:dyDescent="0.2">
      <c r="A70" t="s">
        <v>86</v>
      </c>
    </row>
    <row r="71" spans="1:1" x14ac:dyDescent="0.2">
      <c r="A71" t="s">
        <v>87</v>
      </c>
    </row>
    <row r="73" spans="1:1" x14ac:dyDescent="0.2">
      <c r="A73" s="4">
        <v>44542</v>
      </c>
    </row>
    <row r="74" spans="1:1" x14ac:dyDescent="0.2">
      <c r="A74" s="5">
        <v>0.75</v>
      </c>
    </row>
    <row r="75" spans="1:1" x14ac:dyDescent="0.2">
      <c r="A75" t="s">
        <v>1</v>
      </c>
    </row>
    <row r="76" spans="1:1" x14ac:dyDescent="0.2">
      <c r="A76" t="s">
        <v>3</v>
      </c>
    </row>
    <row r="77" spans="1:1" x14ac:dyDescent="0.2">
      <c r="A77" t="s">
        <v>88</v>
      </c>
    </row>
    <row r="78" spans="1:1" x14ac:dyDescent="0.2">
      <c r="A78" t="s">
        <v>89</v>
      </c>
    </row>
    <row r="79" spans="1:1" x14ac:dyDescent="0.2">
      <c r="A79" t="s">
        <v>90</v>
      </c>
    </row>
    <row r="80" spans="1:1" x14ac:dyDescent="0.2">
      <c r="A80">
        <v>-180</v>
      </c>
    </row>
    <row r="81" spans="1:1" x14ac:dyDescent="0.2">
      <c r="A81">
        <v>155</v>
      </c>
    </row>
    <row r="82" spans="1:1" x14ac:dyDescent="0.2">
      <c r="A82" t="s">
        <v>91</v>
      </c>
    </row>
    <row r="83" spans="1:1" x14ac:dyDescent="0.2">
      <c r="A83" t="s">
        <v>92</v>
      </c>
    </row>
    <row r="85" spans="1:1" x14ac:dyDescent="0.2">
      <c r="A85" s="4">
        <v>44542</v>
      </c>
    </row>
    <row r="86" spans="1:1" x14ac:dyDescent="0.2">
      <c r="A86" s="5">
        <v>0.75</v>
      </c>
    </row>
    <row r="87" spans="1:1" x14ac:dyDescent="0.2">
      <c r="A87" t="s">
        <v>7</v>
      </c>
    </row>
    <row r="88" spans="1:1" x14ac:dyDescent="0.2">
      <c r="A88" t="s">
        <v>6</v>
      </c>
    </row>
    <row r="89" spans="1:1" x14ac:dyDescent="0.2">
      <c r="A89" t="s">
        <v>93</v>
      </c>
    </row>
    <row r="90" spans="1:1" x14ac:dyDescent="0.2">
      <c r="A90" t="s">
        <v>94</v>
      </c>
    </row>
    <row r="91" spans="1:1" x14ac:dyDescent="0.2">
      <c r="A91" t="s">
        <v>95</v>
      </c>
    </row>
    <row r="92" spans="1:1" x14ac:dyDescent="0.2">
      <c r="A92">
        <v>120</v>
      </c>
    </row>
    <row r="93" spans="1:1" x14ac:dyDescent="0.2">
      <c r="A93">
        <v>-140</v>
      </c>
    </row>
    <row r="94" spans="1:1" x14ac:dyDescent="0.2">
      <c r="A94" t="s">
        <v>96</v>
      </c>
    </row>
    <row r="95" spans="1:1" x14ac:dyDescent="0.2">
      <c r="A95" t="s">
        <v>97</v>
      </c>
    </row>
    <row r="97" spans="1:1" x14ac:dyDescent="0.2">
      <c r="A97" s="4">
        <v>44542</v>
      </c>
    </row>
    <row r="98" spans="1:1" x14ac:dyDescent="0.2">
      <c r="A98" s="5">
        <v>0.45833333333333331</v>
      </c>
    </row>
    <row r="99" spans="1:1" x14ac:dyDescent="0.2">
      <c r="A99" t="s">
        <v>0</v>
      </c>
    </row>
    <row r="100" spans="1:1" x14ac:dyDescent="0.2">
      <c r="A100" t="s">
        <v>61</v>
      </c>
    </row>
    <row r="101" spans="1:1" x14ac:dyDescent="0.2">
      <c r="A101" t="s">
        <v>78</v>
      </c>
    </row>
    <row r="102" spans="1:1" x14ac:dyDescent="0.2">
      <c r="A102" t="s">
        <v>79</v>
      </c>
    </row>
    <row r="103" spans="1:1" x14ac:dyDescent="0.2">
      <c r="A103" t="s">
        <v>80</v>
      </c>
    </row>
    <row r="104" spans="1:1" x14ac:dyDescent="0.2">
      <c r="A104">
        <v>-250</v>
      </c>
    </row>
    <row r="105" spans="1:1" x14ac:dyDescent="0.2">
      <c r="A105">
        <v>210</v>
      </c>
    </row>
    <row r="106" spans="1:1" x14ac:dyDescent="0.2">
      <c r="A106" t="s">
        <v>81</v>
      </c>
    </row>
    <row r="107" spans="1:1" x14ac:dyDescent="0.2">
      <c r="A107" t="s">
        <v>82</v>
      </c>
    </row>
    <row r="109" spans="1:1" x14ac:dyDescent="0.2">
      <c r="A109" s="4">
        <v>44542</v>
      </c>
    </row>
    <row r="110" spans="1:1" x14ac:dyDescent="0.2">
      <c r="A110" s="5">
        <v>0.70833333333333337</v>
      </c>
    </row>
    <row r="111" spans="1:1" x14ac:dyDescent="0.2">
      <c r="A111" t="s">
        <v>14</v>
      </c>
    </row>
    <row r="112" spans="1:1" x14ac:dyDescent="0.2">
      <c r="A112" t="s">
        <v>55</v>
      </c>
    </row>
    <row r="113" spans="1:1" x14ac:dyDescent="0.2">
      <c r="A113" t="s">
        <v>83</v>
      </c>
    </row>
    <row r="114" spans="1:1" x14ac:dyDescent="0.2">
      <c r="A114" t="s">
        <v>84</v>
      </c>
    </row>
    <row r="115" spans="1:1" x14ac:dyDescent="0.2">
      <c r="A115" t="s">
        <v>85</v>
      </c>
    </row>
    <row r="116" spans="1:1" x14ac:dyDescent="0.2">
      <c r="A116">
        <v>-320</v>
      </c>
    </row>
    <row r="117" spans="1:1" x14ac:dyDescent="0.2">
      <c r="A117">
        <v>260</v>
      </c>
    </row>
    <row r="118" spans="1:1" x14ac:dyDescent="0.2">
      <c r="A118" t="s">
        <v>86</v>
      </c>
    </row>
    <row r="119" spans="1:1" x14ac:dyDescent="0.2">
      <c r="A119" t="s">
        <v>87</v>
      </c>
    </row>
    <row r="121" spans="1:1" x14ac:dyDescent="0.2">
      <c r="A121" s="4">
        <v>44542</v>
      </c>
    </row>
    <row r="122" spans="1:1" x14ac:dyDescent="0.2">
      <c r="A122" s="5">
        <v>0.75</v>
      </c>
    </row>
    <row r="123" spans="1:1" x14ac:dyDescent="0.2">
      <c r="A123" t="s">
        <v>1</v>
      </c>
    </row>
    <row r="124" spans="1:1" x14ac:dyDescent="0.2">
      <c r="A124" t="s">
        <v>3</v>
      </c>
    </row>
    <row r="125" spans="1:1" x14ac:dyDescent="0.2">
      <c r="A125" t="s">
        <v>88</v>
      </c>
    </row>
    <row r="126" spans="1:1" x14ac:dyDescent="0.2">
      <c r="A126" t="s">
        <v>89</v>
      </c>
    </row>
    <row r="127" spans="1:1" x14ac:dyDescent="0.2">
      <c r="A127" t="s">
        <v>90</v>
      </c>
    </row>
    <row r="128" spans="1:1" x14ac:dyDescent="0.2">
      <c r="A128">
        <v>-180</v>
      </c>
    </row>
    <row r="129" spans="1:1" x14ac:dyDescent="0.2">
      <c r="A129">
        <v>155</v>
      </c>
    </row>
    <row r="130" spans="1:1" x14ac:dyDescent="0.2">
      <c r="A130" t="s">
        <v>91</v>
      </c>
    </row>
    <row r="131" spans="1:1" x14ac:dyDescent="0.2">
      <c r="A131" t="s">
        <v>92</v>
      </c>
    </row>
    <row r="133" spans="1:1" x14ac:dyDescent="0.2">
      <c r="A133" s="4">
        <v>44542</v>
      </c>
    </row>
    <row r="134" spans="1:1" x14ac:dyDescent="0.2">
      <c r="A134" s="5">
        <v>0.75</v>
      </c>
    </row>
    <row r="135" spans="1:1" x14ac:dyDescent="0.2">
      <c r="A135" t="s">
        <v>7</v>
      </c>
    </row>
    <row r="136" spans="1:1" x14ac:dyDescent="0.2">
      <c r="A136" t="s">
        <v>6</v>
      </c>
    </row>
    <row r="137" spans="1:1" x14ac:dyDescent="0.2">
      <c r="A137" t="s">
        <v>93</v>
      </c>
    </row>
    <row r="138" spans="1:1" x14ac:dyDescent="0.2">
      <c r="A138" t="s">
        <v>94</v>
      </c>
    </row>
    <row r="139" spans="1:1" x14ac:dyDescent="0.2">
      <c r="A139" t="s">
        <v>95</v>
      </c>
    </row>
    <row r="140" spans="1:1" x14ac:dyDescent="0.2">
      <c r="A140">
        <v>120</v>
      </c>
    </row>
    <row r="141" spans="1:1" x14ac:dyDescent="0.2">
      <c r="A141">
        <v>-140</v>
      </c>
    </row>
    <row r="142" spans="1:1" x14ac:dyDescent="0.2">
      <c r="A142" t="s">
        <v>96</v>
      </c>
    </row>
    <row r="143" spans="1:1" x14ac:dyDescent="0.2">
      <c r="A143" t="s">
        <v>97</v>
      </c>
    </row>
    <row r="145" spans="1:1" x14ac:dyDescent="0.2">
      <c r="A145" s="4">
        <v>44542</v>
      </c>
    </row>
    <row r="146" spans="1:1" x14ac:dyDescent="0.2">
      <c r="A146" s="5">
        <v>0.45833333333333331</v>
      </c>
    </row>
    <row r="147" spans="1:1" x14ac:dyDescent="0.2">
      <c r="A147" t="s">
        <v>0</v>
      </c>
    </row>
    <row r="148" spans="1:1" x14ac:dyDescent="0.2">
      <c r="A148" t="s">
        <v>61</v>
      </c>
    </row>
    <row r="149" spans="1:1" x14ac:dyDescent="0.2">
      <c r="A149" t="s">
        <v>78</v>
      </c>
    </row>
    <row r="150" spans="1:1" x14ac:dyDescent="0.2">
      <c r="A150" t="s">
        <v>79</v>
      </c>
    </row>
    <row r="151" spans="1:1" x14ac:dyDescent="0.2">
      <c r="A151" t="s">
        <v>80</v>
      </c>
    </row>
    <row r="152" spans="1:1" x14ac:dyDescent="0.2">
      <c r="A152">
        <v>-250</v>
      </c>
    </row>
    <row r="153" spans="1:1" x14ac:dyDescent="0.2">
      <c r="A153">
        <v>210</v>
      </c>
    </row>
    <row r="154" spans="1:1" x14ac:dyDescent="0.2">
      <c r="A154" t="s">
        <v>81</v>
      </c>
    </row>
    <row r="155" spans="1:1" x14ac:dyDescent="0.2">
      <c r="A155" t="s">
        <v>82</v>
      </c>
    </row>
    <row r="157" spans="1:1" x14ac:dyDescent="0.2">
      <c r="A157" s="4">
        <v>44542</v>
      </c>
    </row>
    <row r="158" spans="1:1" x14ac:dyDescent="0.2">
      <c r="A158" s="5">
        <v>0.70833333333333337</v>
      </c>
    </row>
    <row r="159" spans="1:1" x14ac:dyDescent="0.2">
      <c r="A159" t="s">
        <v>14</v>
      </c>
    </row>
    <row r="160" spans="1:1" x14ac:dyDescent="0.2">
      <c r="A160" t="s">
        <v>55</v>
      </c>
    </row>
    <row r="161" spans="1:1" x14ac:dyDescent="0.2">
      <c r="A161" t="s">
        <v>83</v>
      </c>
    </row>
    <row r="162" spans="1:1" x14ac:dyDescent="0.2">
      <c r="A162" t="s">
        <v>84</v>
      </c>
    </row>
    <row r="163" spans="1:1" x14ac:dyDescent="0.2">
      <c r="A163" t="s">
        <v>85</v>
      </c>
    </row>
    <row r="164" spans="1:1" x14ac:dyDescent="0.2">
      <c r="A164">
        <v>-320</v>
      </c>
    </row>
    <row r="165" spans="1:1" x14ac:dyDescent="0.2">
      <c r="A165">
        <v>260</v>
      </c>
    </row>
    <row r="166" spans="1:1" x14ac:dyDescent="0.2">
      <c r="A166" t="s">
        <v>86</v>
      </c>
    </row>
    <row r="167" spans="1:1" x14ac:dyDescent="0.2">
      <c r="A167" t="s">
        <v>87</v>
      </c>
    </row>
    <row r="169" spans="1:1" x14ac:dyDescent="0.2">
      <c r="A169" s="4">
        <v>44542</v>
      </c>
    </row>
    <row r="170" spans="1:1" x14ac:dyDescent="0.2">
      <c r="A170" s="5">
        <v>0.75</v>
      </c>
    </row>
    <row r="171" spans="1:1" x14ac:dyDescent="0.2">
      <c r="A171" t="s">
        <v>1</v>
      </c>
    </row>
    <row r="172" spans="1:1" x14ac:dyDescent="0.2">
      <c r="A172" t="s">
        <v>3</v>
      </c>
    </row>
    <row r="173" spans="1:1" x14ac:dyDescent="0.2">
      <c r="A173" t="s">
        <v>88</v>
      </c>
    </row>
    <row r="174" spans="1:1" x14ac:dyDescent="0.2">
      <c r="A174" t="s">
        <v>89</v>
      </c>
    </row>
    <row r="175" spans="1:1" x14ac:dyDescent="0.2">
      <c r="A175" t="s">
        <v>90</v>
      </c>
    </row>
    <row r="176" spans="1:1" x14ac:dyDescent="0.2">
      <c r="A176">
        <v>-180</v>
      </c>
    </row>
    <row r="177" spans="1:1" x14ac:dyDescent="0.2">
      <c r="A177">
        <v>155</v>
      </c>
    </row>
    <row r="178" spans="1:1" x14ac:dyDescent="0.2">
      <c r="A178" t="s">
        <v>91</v>
      </c>
    </row>
    <row r="179" spans="1:1" x14ac:dyDescent="0.2">
      <c r="A179" t="s">
        <v>92</v>
      </c>
    </row>
    <row r="181" spans="1:1" x14ac:dyDescent="0.2">
      <c r="A181" s="4"/>
    </row>
    <row r="182" spans="1:1" x14ac:dyDescent="0.2">
      <c r="A18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C19EE-B031-A54D-B5CB-749DE1D4ED0F}">
  <sheetPr codeName="Sheet2"/>
  <dimension ref="A1:L31"/>
  <sheetViews>
    <sheetView workbookViewId="0">
      <selection activeCell="M9" sqref="M9"/>
    </sheetView>
  </sheetViews>
  <sheetFormatPr baseColWidth="10" defaultRowHeight="16" x14ac:dyDescent="0.2"/>
  <cols>
    <col min="1" max="1" width="11.6640625" bestFit="1" customWidth="1"/>
    <col min="2" max="2" width="22.1640625" bestFit="1" customWidth="1"/>
    <col min="3" max="3" width="5" customWidth="1"/>
    <col min="4" max="4" width="22.1640625" bestFit="1" customWidth="1"/>
    <col min="5" max="5" width="11.6640625" bestFit="1" customWidth="1"/>
    <col min="6" max="7" width="10.83203125" style="3"/>
    <col min="9" max="9" width="22.1640625" bestFit="1" customWidth="1"/>
    <col min="10" max="10" width="5.33203125" customWidth="1"/>
    <col min="11" max="11" width="22.1640625" bestFit="1" customWidth="1"/>
  </cols>
  <sheetData>
    <row r="1" spans="1:12" s="1" customFormat="1" x14ac:dyDescent="0.2">
      <c r="A1" s="1" t="s">
        <v>47</v>
      </c>
      <c r="B1" s="1" t="s">
        <v>46</v>
      </c>
      <c r="D1" s="1" t="s">
        <v>46</v>
      </c>
      <c r="E1" s="1" t="s">
        <v>47</v>
      </c>
      <c r="F1" s="2"/>
      <c r="G1" s="2"/>
      <c r="H1" s="1" t="s">
        <v>67</v>
      </c>
      <c r="I1" s="1" t="s">
        <v>46</v>
      </c>
      <c r="K1" s="1" t="s">
        <v>46</v>
      </c>
      <c r="L1" s="1" t="s">
        <v>67</v>
      </c>
    </row>
    <row r="2" spans="1:12" x14ac:dyDescent="0.2">
      <c r="A2" t="s">
        <v>41</v>
      </c>
      <c r="B2" t="s">
        <v>48</v>
      </c>
      <c r="D2" t="s">
        <v>48</v>
      </c>
      <c r="E2" t="s">
        <v>41</v>
      </c>
      <c r="H2" t="s">
        <v>41</v>
      </c>
      <c r="I2" t="s">
        <v>48</v>
      </c>
      <c r="K2" t="s">
        <v>48</v>
      </c>
      <c r="L2" t="s">
        <v>41</v>
      </c>
    </row>
    <row r="3" spans="1:12" x14ac:dyDescent="0.2">
      <c r="A3" t="s">
        <v>21</v>
      </c>
      <c r="B3" t="s">
        <v>9</v>
      </c>
      <c r="D3" t="s">
        <v>9</v>
      </c>
      <c r="E3" t="s">
        <v>21</v>
      </c>
      <c r="H3" t="s">
        <v>49</v>
      </c>
      <c r="I3" t="s">
        <v>14</v>
      </c>
      <c r="K3" t="s">
        <v>14</v>
      </c>
      <c r="L3" t="s">
        <v>49</v>
      </c>
    </row>
    <row r="4" spans="1:12" x14ac:dyDescent="0.2">
      <c r="A4" t="s">
        <v>30</v>
      </c>
      <c r="B4" t="s">
        <v>65</v>
      </c>
      <c r="D4" t="s">
        <v>65</v>
      </c>
      <c r="E4" t="s">
        <v>30</v>
      </c>
      <c r="H4" t="s">
        <v>21</v>
      </c>
      <c r="I4" t="s">
        <v>9</v>
      </c>
      <c r="K4" t="s">
        <v>9</v>
      </c>
      <c r="L4" t="s">
        <v>21</v>
      </c>
    </row>
    <row r="5" spans="1:12" x14ac:dyDescent="0.2">
      <c r="A5" t="s">
        <v>42</v>
      </c>
      <c r="B5" t="s">
        <v>52</v>
      </c>
      <c r="D5" t="s">
        <v>52</v>
      </c>
      <c r="E5" t="s">
        <v>42</v>
      </c>
      <c r="H5" t="s">
        <v>50</v>
      </c>
      <c r="I5" t="s">
        <v>51</v>
      </c>
      <c r="K5" t="s">
        <v>51</v>
      </c>
      <c r="L5" t="s">
        <v>50</v>
      </c>
    </row>
    <row r="6" spans="1:12" x14ac:dyDescent="0.2">
      <c r="A6" t="s">
        <v>36</v>
      </c>
      <c r="B6" t="s">
        <v>66</v>
      </c>
      <c r="D6" t="s">
        <v>66</v>
      </c>
      <c r="E6" t="s">
        <v>36</v>
      </c>
      <c r="H6" t="s">
        <v>42</v>
      </c>
      <c r="I6" t="s">
        <v>52</v>
      </c>
      <c r="K6" t="s">
        <v>52</v>
      </c>
      <c r="L6" t="s">
        <v>42</v>
      </c>
    </row>
    <row r="7" spans="1:12" x14ac:dyDescent="0.2">
      <c r="A7" t="s">
        <v>45</v>
      </c>
      <c r="B7" t="s">
        <v>53</v>
      </c>
      <c r="D7" t="s">
        <v>53</v>
      </c>
      <c r="E7" t="s">
        <v>45</v>
      </c>
      <c r="H7" t="s">
        <v>45</v>
      </c>
      <c r="I7" t="s">
        <v>53</v>
      </c>
      <c r="K7" t="s">
        <v>53</v>
      </c>
      <c r="L7" t="s">
        <v>45</v>
      </c>
    </row>
    <row r="8" spans="1:12" x14ac:dyDescent="0.2">
      <c r="A8" t="s">
        <v>34</v>
      </c>
      <c r="B8" t="s">
        <v>1</v>
      </c>
      <c r="D8" t="s">
        <v>1</v>
      </c>
      <c r="E8" t="s">
        <v>34</v>
      </c>
      <c r="H8" t="s">
        <v>34</v>
      </c>
      <c r="I8" t="s">
        <v>1</v>
      </c>
      <c r="K8" t="s">
        <v>1</v>
      </c>
      <c r="L8" t="s">
        <v>34</v>
      </c>
    </row>
    <row r="9" spans="1:12" x14ac:dyDescent="0.2">
      <c r="A9" t="s">
        <v>23</v>
      </c>
      <c r="B9" t="s">
        <v>54</v>
      </c>
      <c r="D9" t="s">
        <v>54</v>
      </c>
      <c r="E9" t="s">
        <v>23</v>
      </c>
      <c r="H9" t="s">
        <v>23</v>
      </c>
      <c r="I9" t="s">
        <v>54</v>
      </c>
      <c r="K9" t="s">
        <v>54</v>
      </c>
      <c r="L9" t="s">
        <v>23</v>
      </c>
    </row>
    <row r="10" spans="1:12" x14ac:dyDescent="0.2">
      <c r="A10" t="s">
        <v>32</v>
      </c>
      <c r="B10" t="s">
        <v>55</v>
      </c>
      <c r="D10" t="s">
        <v>55</v>
      </c>
      <c r="E10" t="s">
        <v>32</v>
      </c>
      <c r="H10" t="s">
        <v>32</v>
      </c>
      <c r="I10" t="s">
        <v>55</v>
      </c>
      <c r="K10" t="s">
        <v>55</v>
      </c>
      <c r="L10" t="s">
        <v>32</v>
      </c>
    </row>
    <row r="11" spans="1:12" x14ac:dyDescent="0.2">
      <c r="A11" t="s">
        <v>17</v>
      </c>
      <c r="B11" t="s">
        <v>56</v>
      </c>
      <c r="D11" t="s">
        <v>56</v>
      </c>
      <c r="E11" t="s">
        <v>17</v>
      </c>
      <c r="H11" t="s">
        <v>17</v>
      </c>
      <c r="I11" t="s">
        <v>56</v>
      </c>
      <c r="K11" t="s">
        <v>56</v>
      </c>
      <c r="L11" t="s">
        <v>17</v>
      </c>
    </row>
    <row r="12" spans="1:12" x14ac:dyDescent="0.2">
      <c r="A12" t="s">
        <v>20</v>
      </c>
      <c r="B12" t="s">
        <v>12</v>
      </c>
      <c r="D12" t="s">
        <v>12</v>
      </c>
      <c r="E12" t="s">
        <v>20</v>
      </c>
      <c r="H12" t="s">
        <v>20</v>
      </c>
      <c r="I12" t="s">
        <v>12</v>
      </c>
      <c r="K12" t="s">
        <v>12</v>
      </c>
      <c r="L12" t="s">
        <v>20</v>
      </c>
    </row>
    <row r="13" spans="1:12" x14ac:dyDescent="0.2">
      <c r="A13" t="s">
        <v>27</v>
      </c>
      <c r="B13" t="s">
        <v>57</v>
      </c>
      <c r="D13" t="s">
        <v>57</v>
      </c>
      <c r="E13" t="s">
        <v>27</v>
      </c>
      <c r="H13" t="s">
        <v>27</v>
      </c>
      <c r="I13" t="s">
        <v>57</v>
      </c>
      <c r="K13" t="s">
        <v>57</v>
      </c>
      <c r="L13" t="s">
        <v>27</v>
      </c>
    </row>
    <row r="14" spans="1:12" x14ac:dyDescent="0.2">
      <c r="A14" t="s">
        <v>28</v>
      </c>
      <c r="B14" t="s">
        <v>15</v>
      </c>
      <c r="D14" t="s">
        <v>15</v>
      </c>
      <c r="E14" t="s">
        <v>28</v>
      </c>
      <c r="H14" t="s">
        <v>28</v>
      </c>
      <c r="I14" t="s">
        <v>15</v>
      </c>
      <c r="K14" t="s">
        <v>15</v>
      </c>
      <c r="L14" t="s">
        <v>28</v>
      </c>
    </row>
    <row r="15" spans="1:12" x14ac:dyDescent="0.2">
      <c r="A15" t="s">
        <v>39</v>
      </c>
      <c r="B15" t="s">
        <v>58</v>
      </c>
      <c r="D15" t="s">
        <v>58</v>
      </c>
      <c r="E15" t="s">
        <v>39</v>
      </c>
      <c r="H15" t="s">
        <v>39</v>
      </c>
      <c r="I15" t="s">
        <v>58</v>
      </c>
      <c r="K15" t="s">
        <v>58</v>
      </c>
      <c r="L15" t="s">
        <v>39</v>
      </c>
    </row>
    <row r="16" spans="1:12" x14ac:dyDescent="0.2">
      <c r="A16" t="s">
        <v>38</v>
      </c>
      <c r="B16" t="s">
        <v>4</v>
      </c>
      <c r="D16" t="s">
        <v>4</v>
      </c>
      <c r="E16" t="s">
        <v>38</v>
      </c>
      <c r="H16" t="s">
        <v>38</v>
      </c>
      <c r="I16" t="s">
        <v>4</v>
      </c>
      <c r="K16" t="s">
        <v>4</v>
      </c>
      <c r="L16" t="s">
        <v>38</v>
      </c>
    </row>
    <row r="17" spans="1:12" x14ac:dyDescent="0.2">
      <c r="A17" t="s">
        <v>33</v>
      </c>
      <c r="B17" t="s">
        <v>59</v>
      </c>
      <c r="D17" t="s">
        <v>59</v>
      </c>
      <c r="E17" t="s">
        <v>33</v>
      </c>
      <c r="H17" t="s">
        <v>33</v>
      </c>
      <c r="I17" t="s">
        <v>59</v>
      </c>
      <c r="K17" t="s">
        <v>59</v>
      </c>
      <c r="L17" t="s">
        <v>33</v>
      </c>
    </row>
    <row r="18" spans="1:12" x14ac:dyDescent="0.2">
      <c r="A18" t="s">
        <v>16</v>
      </c>
      <c r="B18" t="s">
        <v>0</v>
      </c>
      <c r="D18" t="s">
        <v>0</v>
      </c>
      <c r="E18" t="s">
        <v>16</v>
      </c>
      <c r="H18" t="s">
        <v>16</v>
      </c>
      <c r="I18" t="s">
        <v>0</v>
      </c>
      <c r="K18" t="s">
        <v>0</v>
      </c>
      <c r="L18" t="s">
        <v>16</v>
      </c>
    </row>
    <row r="19" spans="1:12" x14ac:dyDescent="0.2">
      <c r="A19" t="s">
        <v>35</v>
      </c>
      <c r="B19" t="s">
        <v>60</v>
      </c>
      <c r="D19" t="s">
        <v>60</v>
      </c>
      <c r="E19" t="s">
        <v>35</v>
      </c>
      <c r="H19" t="s">
        <v>35</v>
      </c>
      <c r="I19" t="s">
        <v>60</v>
      </c>
      <c r="K19" t="s">
        <v>60</v>
      </c>
      <c r="L19" t="s">
        <v>35</v>
      </c>
    </row>
    <row r="20" spans="1:12" x14ac:dyDescent="0.2">
      <c r="A20" t="s">
        <v>37</v>
      </c>
      <c r="B20" t="s">
        <v>7</v>
      </c>
      <c r="D20" t="s">
        <v>7</v>
      </c>
      <c r="E20" t="s">
        <v>37</v>
      </c>
      <c r="H20" t="s">
        <v>37</v>
      </c>
      <c r="I20" t="s">
        <v>7</v>
      </c>
      <c r="K20" t="s">
        <v>7</v>
      </c>
      <c r="L20" t="s">
        <v>37</v>
      </c>
    </row>
    <row r="21" spans="1:12" x14ac:dyDescent="0.2">
      <c r="A21" t="s">
        <v>44</v>
      </c>
      <c r="B21" t="s">
        <v>61</v>
      </c>
      <c r="D21" t="s">
        <v>61</v>
      </c>
      <c r="E21" t="s">
        <v>44</v>
      </c>
      <c r="H21" t="s">
        <v>44</v>
      </c>
      <c r="I21" t="s">
        <v>61</v>
      </c>
      <c r="K21" t="s">
        <v>61</v>
      </c>
      <c r="L21" t="s">
        <v>44</v>
      </c>
    </row>
    <row r="22" spans="1:12" x14ac:dyDescent="0.2">
      <c r="A22" t="s">
        <v>26</v>
      </c>
      <c r="B22" t="s">
        <v>3</v>
      </c>
      <c r="D22" t="s">
        <v>3</v>
      </c>
      <c r="E22" t="s">
        <v>26</v>
      </c>
      <c r="H22" t="s">
        <v>26</v>
      </c>
      <c r="I22" t="s">
        <v>3</v>
      </c>
      <c r="K22" t="s">
        <v>3</v>
      </c>
      <c r="L22" t="s">
        <v>26</v>
      </c>
    </row>
    <row r="23" spans="1:12" x14ac:dyDescent="0.2">
      <c r="A23" t="s">
        <v>29</v>
      </c>
      <c r="B23" t="s">
        <v>8</v>
      </c>
      <c r="D23" t="s">
        <v>8</v>
      </c>
      <c r="E23" t="s">
        <v>29</v>
      </c>
      <c r="H23" t="s">
        <v>29</v>
      </c>
      <c r="I23" t="s">
        <v>8</v>
      </c>
      <c r="K23" t="s">
        <v>8</v>
      </c>
      <c r="L23" t="s">
        <v>29</v>
      </c>
    </row>
    <row r="24" spans="1:12" x14ac:dyDescent="0.2">
      <c r="A24" t="s">
        <v>24</v>
      </c>
      <c r="B24" t="s">
        <v>10</v>
      </c>
      <c r="D24" t="s">
        <v>10</v>
      </c>
      <c r="E24" t="s">
        <v>24</v>
      </c>
      <c r="H24" t="s">
        <v>24</v>
      </c>
      <c r="I24" t="s">
        <v>10</v>
      </c>
      <c r="K24" t="s">
        <v>10</v>
      </c>
      <c r="L24" t="s">
        <v>24</v>
      </c>
    </row>
    <row r="25" spans="1:12" x14ac:dyDescent="0.2">
      <c r="A25" t="s">
        <v>43</v>
      </c>
      <c r="B25" t="s">
        <v>63</v>
      </c>
      <c r="D25" t="s">
        <v>63</v>
      </c>
      <c r="E25" t="s">
        <v>43</v>
      </c>
      <c r="H25" t="s">
        <v>62</v>
      </c>
      <c r="I25" t="s">
        <v>63</v>
      </c>
      <c r="K25" t="s">
        <v>63</v>
      </c>
      <c r="L25" t="s">
        <v>62</v>
      </c>
    </row>
    <row r="26" spans="1:12" x14ac:dyDescent="0.2">
      <c r="A26" t="s">
        <v>22</v>
      </c>
      <c r="B26" t="s">
        <v>11</v>
      </c>
      <c r="D26" t="s">
        <v>11</v>
      </c>
      <c r="E26" t="s">
        <v>22</v>
      </c>
      <c r="H26" t="s">
        <v>22</v>
      </c>
      <c r="I26" t="s">
        <v>11</v>
      </c>
      <c r="K26" t="s">
        <v>11</v>
      </c>
      <c r="L26" t="s">
        <v>22</v>
      </c>
    </row>
    <row r="27" spans="1:12" x14ac:dyDescent="0.2">
      <c r="A27" t="s">
        <v>31</v>
      </c>
      <c r="B27" t="s">
        <v>13</v>
      </c>
      <c r="D27" t="s">
        <v>13</v>
      </c>
      <c r="E27" t="s">
        <v>31</v>
      </c>
      <c r="H27" t="s">
        <v>31</v>
      </c>
      <c r="I27" t="s">
        <v>13</v>
      </c>
      <c r="K27" t="s">
        <v>13</v>
      </c>
      <c r="L27" t="s">
        <v>31</v>
      </c>
    </row>
    <row r="28" spans="1:12" x14ac:dyDescent="0.2">
      <c r="A28" t="s">
        <v>25</v>
      </c>
      <c r="B28" t="s">
        <v>6</v>
      </c>
      <c r="D28" t="s">
        <v>6</v>
      </c>
      <c r="E28" t="s">
        <v>25</v>
      </c>
      <c r="H28" t="s">
        <v>25</v>
      </c>
      <c r="I28" t="s">
        <v>6</v>
      </c>
      <c r="K28" t="s">
        <v>6</v>
      </c>
      <c r="L28" t="s">
        <v>25</v>
      </c>
    </row>
    <row r="29" spans="1:12" x14ac:dyDescent="0.2">
      <c r="A29" t="s">
        <v>18</v>
      </c>
      <c r="B29" t="s">
        <v>5</v>
      </c>
      <c r="D29" t="s">
        <v>5</v>
      </c>
      <c r="E29" t="s">
        <v>18</v>
      </c>
      <c r="H29" t="s">
        <v>18</v>
      </c>
      <c r="I29" t="s">
        <v>5</v>
      </c>
      <c r="K29" t="s">
        <v>5</v>
      </c>
      <c r="L29" t="s">
        <v>18</v>
      </c>
    </row>
    <row r="30" spans="1:12" x14ac:dyDescent="0.2">
      <c r="A30" t="s">
        <v>19</v>
      </c>
      <c r="B30" t="s">
        <v>64</v>
      </c>
      <c r="D30" t="s">
        <v>64</v>
      </c>
      <c r="E30" t="s">
        <v>19</v>
      </c>
      <c r="H30" t="s">
        <v>19</v>
      </c>
      <c r="I30" t="s">
        <v>64</v>
      </c>
      <c r="K30" t="s">
        <v>64</v>
      </c>
      <c r="L30" t="s">
        <v>19</v>
      </c>
    </row>
    <row r="31" spans="1:12" x14ac:dyDescent="0.2">
      <c r="A31" t="s">
        <v>40</v>
      </c>
      <c r="B31" t="s">
        <v>2</v>
      </c>
      <c r="D31" t="s">
        <v>2</v>
      </c>
      <c r="E31" t="s">
        <v>40</v>
      </c>
      <c r="H31" t="s">
        <v>40</v>
      </c>
      <c r="I31" t="s">
        <v>2</v>
      </c>
      <c r="K31" t="s">
        <v>2</v>
      </c>
      <c r="L3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Today's Games</vt:lpstr>
      <vt:lpstr>Today's Odds</vt:lpstr>
      <vt:lpstr>Today's Games v2</vt:lpstr>
      <vt:lpstr>Test Slate</vt:lpstr>
      <vt:lpstr>Team 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2020-08-06T22:30:09Z</dcterms:created>
  <dcterms:modified xsi:type="dcterms:W3CDTF">2022-04-17T15:53:58Z</dcterms:modified>
</cp:coreProperties>
</file>